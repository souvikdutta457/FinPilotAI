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5" activeTab="14" autoFilterDateGrouping="1"/>
  </bookViews>
  <sheets>
    <sheet name="Dashboard" sheetId="1" state="visible" r:id="rId1"/>
    <sheet name="Sheet1" sheetId="2" state="visible" r:id="rId2"/>
    <sheet name="January" sheetId="3" state="visible" r:id="rId3"/>
    <sheet name="February" sheetId="4" state="visible" r:id="rId4"/>
    <sheet name="March" sheetId="5" state="visible" r:id="rId5"/>
    <sheet name="April" sheetId="6" state="visible" r:id="rId6"/>
    <sheet name="May" sheetId="7" state="visible" r:id="rId7"/>
    <sheet name="June" sheetId="8" state="visible" r:id="rId8"/>
    <sheet name="July" sheetId="9" state="visible" r:id="rId9"/>
    <sheet name="August" sheetId="10" state="visible" r:id="rId10"/>
    <sheet name="September" sheetId="11" state="visible" r:id="rId11"/>
    <sheet name="October" sheetId="12" state="visible" r:id="rId12"/>
    <sheet name="November" sheetId="13" state="visible" r:id="rId13"/>
    <sheet name="December" sheetId="14" state="visible" r:id="rId14"/>
    <sheet name="Transactions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&quot;-&quot;mmm"/>
    <numFmt numFmtId="165" formatCode="[$₹]#,##0.00"/>
    <numFmt numFmtId="166" formatCode="m/d/yyyy"/>
    <numFmt numFmtId="167" formatCode="dmmm"/>
    <numFmt numFmtId="168" formatCode="&quot;₹&quot;\ #,##0;[Red]&quot;₹&quot;\ \-#,##0"/>
  </numFmts>
  <fonts count="16">
    <font>
      <name val="Arial"/>
      <color rgb="FF000000"/>
      <sz val="10"/>
      <scheme val="minor"/>
    </font>
    <font>
      <name val="Arial"/>
      <b val="1"/>
      <color theme="1"/>
      <sz val="16"/>
      <scheme val="minor"/>
    </font>
    <font>
      <name val="Arial"/>
      <b val="1"/>
      <color theme="1"/>
      <sz val="10"/>
      <scheme val="minor"/>
    </font>
    <font>
      <name val="Arial"/>
      <color theme="1"/>
      <sz val="10"/>
      <scheme val="minor"/>
    </font>
    <font>
      <name val="Arial"/>
      <i val="1"/>
      <color theme="1"/>
      <sz val="10"/>
      <scheme val="minor"/>
    </font>
    <font>
      <name val="Arial"/>
      <b val="1"/>
      <color theme="1"/>
      <sz val="14"/>
      <scheme val="minor"/>
    </font>
    <font>
      <name val="Arial"/>
      <color rgb="FFFFFFFF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theme="2"/>
      <sz val="24"/>
      <scheme val="minor"/>
    </font>
    <font>
      <name val="Arial"/>
      <family val="2"/>
      <color rgb="FF000000"/>
      <sz val="10"/>
      <scheme val="minor"/>
    </font>
    <font>
      <name val="Arial"/>
      <family val="2"/>
      <b val="1"/>
      <color theme="0"/>
      <sz val="10"/>
      <scheme val="minor"/>
    </font>
    <font>
      <name val="Arial"/>
      <family val="2"/>
      <b val="1"/>
      <color theme="0"/>
      <sz val="20"/>
      <scheme val="minor"/>
    </font>
    <font>
      <name val="Arial"/>
      <family val="2"/>
      <b val="1"/>
      <color theme="2"/>
      <sz val="20"/>
      <scheme val="minor"/>
    </font>
    <font>
      <name val="Arial"/>
      <family val="2"/>
      <b val="1"/>
      <color theme="1"/>
      <sz val="16"/>
      <scheme val="minor"/>
    </font>
    <font>
      <name val="Arial"/>
      <family val="2"/>
      <b val="1"/>
      <i val="1"/>
      <color rgb="FF000000"/>
      <sz val="12"/>
      <scheme val="minor"/>
    </font>
    <font>
      <name val="Arial"/>
      <family val="2"/>
      <color theme="0"/>
      <sz val="10"/>
      <scheme val="minor"/>
    </font>
  </fonts>
  <fills count="22">
    <fill>
      <patternFill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00206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/>
        <bgColor indexed="64"/>
      </patternFill>
    </fill>
  </fills>
  <borders count="1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5" borderId="0" pivotButton="0" quotePrefix="0" xfId="0"/>
    <xf numFmtId="164" fontId="4" fillId="5" borderId="0" pivotButton="0" quotePrefix="0" xfId="0"/>
    <xf numFmtId="0" fontId="4" fillId="5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3" fillId="7" borderId="0" pivotButton="0" quotePrefix="0" xfId="0"/>
    <xf numFmtId="0" fontId="4" fillId="7" borderId="0" pivotButton="0" quotePrefix="0" xfId="0"/>
    <xf numFmtId="0" fontId="6" fillId="0" borderId="0" pivotButton="0" quotePrefix="0" xfId="0"/>
    <xf numFmtId="165" fontId="6" fillId="0" borderId="0" pivotButton="0" quotePrefix="0" xfId="0"/>
    <xf numFmtId="0" fontId="3" fillId="12" borderId="0" pivotButton="0" quotePrefix="0" xfId="0"/>
    <xf numFmtId="0" fontId="4" fillId="12" borderId="0" pivotButton="0" quotePrefix="0" xfId="0"/>
    <xf numFmtId="0" fontId="3" fillId="13" borderId="0" pivotButton="0" quotePrefix="0" xfId="0"/>
    <xf numFmtId="0" fontId="4" fillId="13" borderId="0" pivotButton="0" quotePrefix="0" xfId="0"/>
    <xf numFmtId="0" fontId="3" fillId="14" borderId="0" pivotButton="0" quotePrefix="0" xfId="0"/>
    <xf numFmtId="0" fontId="4" fillId="14" borderId="0" pivotButton="0" quotePrefix="0" xfId="0"/>
    <xf numFmtId="0" fontId="3" fillId="15" borderId="0" applyAlignment="1" pivotButton="0" quotePrefix="0" xfId="0">
      <alignment horizontal="center"/>
    </xf>
    <xf numFmtId="0" fontId="4" fillId="15" borderId="0" pivotButton="0" quotePrefix="0" xfId="0"/>
    <xf numFmtId="165" fontId="3" fillId="0" borderId="1" applyAlignment="1" pivotButton="0" quotePrefix="0" xfId="0">
      <alignment horizontal="right"/>
    </xf>
    <xf numFmtId="166" fontId="3" fillId="0" borderId="1" pivotButton="0" quotePrefix="0" xfId="0"/>
    <xf numFmtId="167" fontId="3" fillId="0" borderId="1" pivotButton="0" quotePrefix="0" xfId="0"/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14" fillId="0" borderId="11" pivotButton="0" quotePrefix="0" xfId="0"/>
    <xf numFmtId="0" fontId="14" fillId="0" borderId="2" pivotButton="0" quotePrefix="0" xfId="0"/>
    <xf numFmtId="168" fontId="14" fillId="0" borderId="2" pivotButton="0" quotePrefix="0" xfId="0"/>
    <xf numFmtId="9" fontId="0" fillId="0" borderId="13" pivotButton="0" quotePrefix="0" xfId="0"/>
    <xf numFmtId="9" fontId="0" fillId="0" borderId="14" pivotButton="0" quotePrefix="0" xfId="0"/>
    <xf numFmtId="0" fontId="7" fillId="0" borderId="15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 wrapText="1"/>
    </xf>
    <xf numFmtId="0" fontId="9" fillId="0" borderId="16" applyAlignment="1" pivotButton="0" quotePrefix="0" xfId="0">
      <alignment vertical="center" wrapText="1"/>
    </xf>
    <xf numFmtId="0" fontId="9" fillId="0" borderId="17" applyAlignment="1" pivotButton="0" quotePrefix="0" xfId="0">
      <alignment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5" fillId="0" borderId="0" pivotButton="0" quotePrefix="0" xfId="0"/>
    <xf numFmtId="0" fontId="15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horizontal="right" vertical="center" wrapText="1"/>
    </xf>
    <xf numFmtId="0" fontId="10" fillId="19" borderId="0" pivotButton="0" quotePrefix="0" xfId="0"/>
    <xf numFmtId="0" fontId="10" fillId="19" borderId="0" applyAlignment="1" pivotButton="0" quotePrefix="0" xfId="0">
      <alignment horizontal="center"/>
    </xf>
    <xf numFmtId="0" fontId="0" fillId="19" borderId="0" pivotButton="0" quotePrefix="0" xfId="0"/>
    <xf numFmtId="0" fontId="15" fillId="19" borderId="0" pivotButton="0" quotePrefix="0" xfId="0"/>
    <xf numFmtId="0" fontId="10" fillId="19" borderId="0" pivotButton="0" quotePrefix="1" xfId="0"/>
    <xf numFmtId="0" fontId="11" fillId="17" borderId="0" applyAlignment="1" pivotButton="0" quotePrefix="0" xfId="0">
      <alignment horizontal="center" vertical="center"/>
    </xf>
    <xf numFmtId="0" fontId="0" fillId="0" borderId="0" pivotButton="0" quotePrefix="0" xfId="0"/>
    <xf numFmtId="0" fontId="12" fillId="17" borderId="0" applyAlignment="1" pivotButton="0" quotePrefix="0" xfId="0">
      <alignment horizontal="center" vertical="center"/>
    </xf>
    <xf numFmtId="0" fontId="11" fillId="18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11" fillId="19" borderId="0" applyAlignment="1" pivotButton="0" quotePrefix="0" xfId="0">
      <alignment horizontal="center" vertical="center"/>
    </xf>
    <xf numFmtId="0" fontId="8" fillId="16" borderId="0" applyAlignment="1" pivotButton="0" quotePrefix="0" xfId="0">
      <alignment horizontal="center" vertical="center"/>
    </xf>
    <xf numFmtId="0" fontId="11" fillId="21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165" fontId="5" fillId="0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1" fillId="2" borderId="0" applyAlignment="1" pivotButton="0" quotePrefix="0" xfId="0">
      <alignment horizontal="center"/>
    </xf>
    <xf numFmtId="0" fontId="1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8" fontId="14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strike="noStrike" baseline="0"/>
              <a:t>Budget vs Actual</a:t>
            </a:r>
            <a:endParaRPr lang="en-IN"/>
          </a:p>
        </rich>
      </tx>
      <overlay val="0"/>
      <spPr>
        <a:noFill/>
        <a:ln>
          <a:noFill/>
          <a:prstDash val="solid"/>
        </a:ln>
      </spPr>
    </title>
    <view3D>
      <rotX val="15"/>
      <rotY val="20"/>
      <rAngAx val="1"/>
    </view3D>
    <floor>
      <thickness val="0"/>
      <spPr>
        <a:noFill/>
        <a:ln>
          <a:noFill/>
          <a:prstDash val="solid"/>
        </a:ln>
        <a:sp3d/>
      </spPr>
    </floor>
    <sideWall>
      <thickness val="0"/>
      <spPr>
        <a:noFill/>
        <a:ln>
          <a:noFill/>
          <a:prstDash val="solid"/>
        </a:ln>
        <a:sp3d/>
      </spPr>
    </sideWall>
    <backWall>
      <thickness val="0"/>
      <spPr>
        <a:noFill/>
        <a:ln>
          <a:noFill/>
          <a:prstDash val="solid"/>
        </a:ln>
        <a:sp3d/>
      </spPr>
    </backWall>
    <plotArea>
      <layout/>
      <bar3DChart>
        <barDir val="col"/>
        <grouping val="clustered"/>
        <varyColors val="0"/>
        <ser>
          <idx val="0"/>
          <order val="0"/>
          <tx>
            <strRef>
              <f>Dashboard!$W$34:$W$35</f>
              <strCache>
                <ptCount val="2"/>
                <pt idx="0">
                  <v>B</v>
                </pt>
                <pt idx="1">
                  <v>Budget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  <a:sp3d/>
          </spPr>
          <invertIfNegative val="0"/>
          <cat>
            <strRef>
              <f>Dashboard!$V$36:$V$40</f>
              <strCache>
                <ptCount val="5"/>
                <pt idx="0">
                  <v>Income</v>
                </pt>
                <pt idx="1">
                  <v>Expenses</v>
                </pt>
                <pt idx="2">
                  <v>Bills</v>
                </pt>
                <pt idx="3">
                  <v>Savings</v>
                </pt>
                <pt idx="4">
                  <v>Debt</v>
                </pt>
              </strCache>
            </strRef>
          </cat>
          <val>
            <numRef>
              <f>Dashboard!$W$36:$W$40</f>
              <numCache>
                <formatCode>General</formatCode>
                <ptCount val="5"/>
                <pt idx="0">
                  <v>68000</v>
                </pt>
                <pt idx="1">
                  <v>18500</v>
                </pt>
                <pt idx="2">
                  <v>20000</v>
                </pt>
                <pt idx="3">
                  <v>12000</v>
                </pt>
                <pt idx="4">
                  <v>7000</v>
                </pt>
              </numCache>
            </numRef>
          </val>
        </ser>
        <ser>
          <idx val="1"/>
          <order val="1"/>
          <tx>
            <strRef>
              <f>Dashboard!$X$34:$X$35</f>
              <strCache>
                <ptCount val="2"/>
                <pt idx="0">
                  <v>C</v>
                </pt>
                <pt idx="1">
                  <v>Actual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  <a:sp3d/>
          </spPr>
          <invertIfNegative val="0"/>
          <cat>
            <strRef>
              <f>Dashboard!$V$36:$V$40</f>
              <strCache>
                <ptCount val="5"/>
                <pt idx="0">
                  <v>Income</v>
                </pt>
                <pt idx="1">
                  <v>Expenses</v>
                </pt>
                <pt idx="2">
                  <v>Bills</v>
                </pt>
                <pt idx="3">
                  <v>Savings</v>
                </pt>
                <pt idx="4">
                  <v>Debt</v>
                </pt>
              </strCache>
            </strRef>
          </cat>
          <val>
            <numRef>
              <f>Dashboard!$X$36:$X$40</f>
              <numCache>
                <formatCode>General</formatCode>
                <ptCount val="5"/>
                <pt idx="0">
                  <v>71250</v>
                </pt>
                <pt idx="1">
                  <v>19350</v>
                </pt>
                <pt idx="2">
                  <v>20248</v>
                </pt>
                <pt idx="3">
                  <v>13500</v>
                </pt>
                <pt idx="4">
                  <v>7000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gapDepth val="150"/>
        <shape val="box"/>
        <axId val="1241491903"/>
        <axId val="987878831"/>
        <axId val="1000"/>
      </bar3DChart>
      <catAx>
        <axId val="124149190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7878831"/>
        <crosses val="autoZero"/>
        <auto val="1"/>
        <lblAlgn val="ctr"/>
        <lblOffset val="100"/>
        <noMultiLvlLbl val="0"/>
      </catAx>
      <valAx>
        <axId val="98787883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241491903"/>
        <crosses val="autoZero"/>
        <crossBetween val="between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strike="noStrike" baseline="0"/>
              <a:t>Expense Breakdown</a:t>
            </a:r>
            <a:endParaRPr lang="en-US"/>
          </a:p>
        </rich>
      </tx>
      <overlay val="0"/>
      <spPr>
        <a:noFill/>
        <a:ln>
          <a:noFill/>
          <a:prstDash val="solid"/>
        </a:ln>
      </spPr>
    </title>
    <plotArea>
      <layout/>
      <doughnutChart>
        <varyColors val="1"/>
        <ser>
          <idx val="0"/>
          <order val="0"/>
          <tx>
            <strRef>
              <f>Dashboard!$W$10</f>
              <strCache>
                <ptCount val="1"/>
                <pt idx="0">
                  <v>Actual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cat>
            <strRef>
              <f>Dashboard!$V$11:$V$16</f>
              <strCache>
                <ptCount val="6"/>
                <pt idx="0">
                  <v>Bus</v>
                </pt>
                <pt idx="1">
                  <v>Uber/Rapido</v>
                </pt>
                <pt idx="2">
                  <v>Dining Out</v>
                </pt>
                <pt idx="3">
                  <v>Other Expenses</v>
                </pt>
                <pt idx="4">
                  <v>Food Outside</v>
                </pt>
                <pt idx="5">
                  <v>Food Order</v>
                </pt>
              </strCache>
            </strRef>
          </cat>
          <val>
            <numRef>
              <f>Dashboard!$W$11:$W$16</f>
              <numCache>
                <formatCode>General</formatCode>
                <ptCount val="6"/>
                <pt idx="0">
                  <v>1350</v>
                </pt>
                <pt idx="1">
                  <v>2900</v>
                </pt>
                <pt idx="2">
                  <v>4100</v>
                </pt>
                <pt idx="3">
                  <v>1700</v>
                </pt>
                <pt idx="4">
                  <v>4350</v>
                </pt>
                <pt idx="5">
                  <v>4950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75"/>
      </doughnutChart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strike="noStrike" baseline="0"/>
              <a:t>Monthly Balance Trend</a:t>
            </a:r>
            <a:endParaRPr 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Dashboard!$W$19</f>
              <strCache>
                <ptCount val="1"/>
                <pt idx="0">
                  <v>Balance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Dashboard!$V$20:$V$31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Dashboard!$W$20:$W$31</f>
              <numCache>
                <formatCode>General</formatCode>
                <ptCount val="12"/>
                <pt idx="0">
                  <v>39400</v>
                </pt>
                <pt idx="1">
                  <v>43400</v>
                </pt>
                <pt idx="2">
                  <v>46400</v>
                </pt>
                <pt idx="3">
                  <v>37400</v>
                </pt>
                <pt idx="4">
                  <v>40400</v>
                </pt>
                <pt idx="5">
                  <v>41400</v>
                </pt>
                <pt idx="6">
                  <v>43400</v>
                </pt>
                <pt idx="7">
                  <v>34400</v>
                </pt>
                <pt idx="8">
                  <v>37600</v>
                </pt>
                <pt idx="9">
                  <v>40300</v>
                </pt>
                <pt idx="10">
                  <v>41000</v>
                </pt>
                <pt idx="11">
                  <v>43800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69497775"/>
        <axId val="987815951"/>
      </lineChart>
      <catAx>
        <axId val="13694977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7815951"/>
        <crosses val="autoZero"/>
        <auto val="1"/>
        <lblAlgn val="ctr"/>
        <lblOffset val="100"/>
        <noMultiLvlLbl val="0"/>
      </catAx>
      <valAx>
        <axId val="98781595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69497775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lang="en-IN" b="1">
                <a:solidFill>
                  <a:schemeClr val="dk1"/>
                </a:solidFill>
                <a:latin typeface="+mn-lt"/>
              </a:rPr>
              <a:t>Budget Left</a:t>
            </a:r>
          </a:p>
        </rich>
      </tx>
      <layout>
        <manualLayout>
          <xMode val="edge"/>
          <yMode val="edge"/>
          <wMode val="factor"/>
          <hMode val="factor"/>
          <x val="0.3653760307520614"/>
          <y val="0.0116144018583043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65928176300797"/>
          <y val="0.09280592974658654"/>
          <w val="0.6812670069784583"/>
          <h val="0.9043997549086851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FF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00FFFF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January!$B$12:$B$13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January!$C$12:$C$13</f>
              <numCache>
                <formatCode>[$₹]#,##0.00</formatCode>
                <ptCount val="2"/>
                <pt idx="0">
                  <v>38500</v>
                </pt>
                <pt idx="1">
                  <v>76000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lang="en-IN" b="1">
                <a:solidFill>
                  <a:schemeClr val="dk1"/>
                </a:solidFill>
                <a:latin typeface="+mn-lt"/>
              </a:rPr>
              <a:t xml:space="preserve">Actual Money Left </a:t>
            </a:r>
          </a:p>
        </rich>
      </tx>
      <layout>
        <manualLayout>
          <xMode val="edge"/>
          <yMode val="edge"/>
          <wMode val="factor"/>
          <hMode val="factor"/>
          <x val="0.3018469656992084"/>
          <y val="0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59421810400349"/>
          <y val="0.08526533215038261"/>
          <w val="0.6810500765240757"/>
          <h val="0.9088661232486784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FF99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434343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January!$B$12:$B$13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January!$D$12:$D$13</f>
              <numCache>
                <formatCode>[$₹]#,##0.00</formatCode>
                <ptCount val="2"/>
                <pt idx="0">
                  <v>39400</v>
                </pt>
                <pt idx="1">
                  <v>79250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>Budget Left</a:t>
            </a:r>
          </a:p>
        </rich>
      </tx>
      <layout>
        <manualLayout>
          <xMode val="edge"/>
          <yMode val="edge"/>
          <wMode val="factor"/>
          <hMode val="factor"/>
          <x val="0.3469268605203877"/>
          <y val="0.005807200929152149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615537231074462"/>
          <y val="0.09280592974658655"/>
          <w val="0.6812670069784583"/>
          <h val="0.9043997549086851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FF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00FFFF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February!$B$12:$B$13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February!$C$12:$C$13</f>
              <numCache>
                <formatCode>[$₹]#,##0.00</formatCode>
                <ptCount val="2"/>
                <pt idx="0">
                  <v>38500</v>
                </pt>
                <pt idx="1">
                  <v>76000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 xml:space="preserve">Actual Money Left </a:t>
            </a:r>
          </a:p>
        </rich>
      </tx>
      <layout>
        <manualLayout>
          <xMode val="edge"/>
          <yMode val="edge"/>
          <wMode val="factor"/>
          <hMode val="factor"/>
          <x val="0.24497902329138"/>
          <y val="0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59421810400349"/>
          <y val="0.08526533215038261"/>
          <w val="0.6810500765240757"/>
          <h val="0.9088661232486784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FF99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434343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February!$B$12:$B$13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February!$D$12:$D$13</f>
              <numCache>
                <formatCode>[$₹]#,##0.00</formatCode>
                <ptCount val="2"/>
                <pt idx="0">
                  <v>43400</v>
                </pt>
                <pt idx="1">
                  <v>83250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>Budget Left</a:t>
            </a:r>
          </a:p>
        </rich>
      </tx>
      <layout>
        <manualLayout>
          <xMode val="edge"/>
          <yMode val="edge"/>
          <wMode val="factor"/>
          <hMode val="factor"/>
          <x val="0.3469268605203877"/>
          <y val="0.005807200929152149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615537231074462"/>
          <y val="0.09280592974658655"/>
          <w val="0.6812670069784583"/>
          <h val="0.9043997549086851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FF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00FFFF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March!$B$12:$B$13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March!$C$12:$C$13</f>
              <numCache>
                <formatCode>[$₹]#,##0.00</formatCode>
                <ptCount val="2"/>
                <pt idx="0">
                  <v>38500</v>
                </pt>
                <pt idx="1">
                  <v>76000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 xml:space="preserve">Actual Money Left </a:t>
            </a:r>
          </a:p>
        </rich>
      </tx>
      <layout>
        <manualLayout>
          <xMode val="edge"/>
          <yMode val="edge"/>
          <wMode val="factor"/>
          <hMode val="factor"/>
          <x val="0.24497902329138"/>
          <y val="0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59421810400349"/>
          <y val="0.08526533215038261"/>
          <w val="0.6810500765240757"/>
          <h val="0.9088661232486784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FF99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434343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March!$B$12:$B$13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March!$D$12:$D$13</f>
              <numCache>
                <formatCode>[$₹]#,##0.00</formatCode>
                <ptCount val="2"/>
                <pt idx="0">
                  <v>46400</v>
                </pt>
                <pt idx="1">
                  <v>86250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>Budget Left</a:t>
            </a:r>
          </a:p>
        </rich>
      </tx>
      <layout>
        <manualLayout>
          <xMode val="edge"/>
          <yMode val="edge"/>
          <wMode val="factor"/>
          <hMode val="factor"/>
          <x val="0.3469268605203877"/>
          <y val="0.005807200929152149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615537231074462"/>
          <y val="0.09280592974658655"/>
          <w val="0.6812670069784583"/>
          <h val="0.9043997549086851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FF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00FFFF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April!$B$12:$B$13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April!$C$12:$C$13</f>
              <numCache>
                <formatCode>[$₹]#,##0.00</formatCode>
                <ptCount val="2"/>
                <pt idx="0">
                  <v>38500</v>
                </pt>
                <pt idx="1">
                  <v>76000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 xml:space="preserve">Actual Money Left </a:t>
            </a:r>
          </a:p>
        </rich>
      </tx>
      <layout>
        <manualLayout>
          <xMode val="edge"/>
          <yMode val="edge"/>
          <wMode val="factor"/>
          <hMode val="factor"/>
          <x val="0.24497902329138"/>
          <y val="0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59421810400349"/>
          <y val="0.08526533215038261"/>
          <w val="0.6810500765240757"/>
          <h val="0.9088661232486784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FF99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434343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April!$B$12:$B$13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April!$D$12:$D$13</f>
              <numCache>
                <formatCode>[$₹]#,##0.00</formatCode>
                <ptCount val="2"/>
                <pt idx="0">
                  <v>37400</v>
                </pt>
                <pt idx="1">
                  <v>77250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>Budget Left</a:t>
            </a:r>
          </a:p>
        </rich>
      </tx>
      <layout>
        <manualLayout>
          <xMode val="edge"/>
          <yMode val="edge"/>
          <wMode val="factor"/>
          <hMode val="factor"/>
          <x val="0.3469268605203877"/>
          <y val="0.005807200929152149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615537231074462"/>
          <y val="0.09280592974658655"/>
          <w val="0.6812670069784583"/>
          <h val="0.9043997549086851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FF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00FFFF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May!$B$12:$B$13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May!$C$12:$C$13</f>
              <numCache>
                <formatCode>[$₹]#,##0.00</formatCode>
                <ptCount val="2"/>
                <pt idx="0">
                  <v>38500</v>
                </pt>
                <pt idx="1">
                  <v>76000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 xml:space="preserve">Actual Money Left </a:t>
            </a:r>
          </a:p>
        </rich>
      </tx>
      <layout>
        <manualLayout>
          <xMode val="edge"/>
          <yMode val="edge"/>
          <wMode val="factor"/>
          <hMode val="factor"/>
          <x val="0.24497902329138"/>
          <y val="0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59421810400349"/>
          <y val="0.08526533215038261"/>
          <w val="0.6810500765240757"/>
          <h val="0.9088661232486784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FF99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434343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May!$B$12:$B$13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May!$D$12:$D$13</f>
              <numCache>
                <formatCode>[$₹]#,##0.00</formatCode>
                <ptCount val="2"/>
                <pt idx="0">
                  <v>40400</v>
                </pt>
                <pt idx="1">
                  <v>80250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>Budget Left</a:t>
            </a:r>
          </a:p>
        </rich>
      </tx>
      <layout>
        <manualLayout>
          <xMode val="edge"/>
          <yMode val="edge"/>
          <wMode val="factor"/>
          <hMode val="factor"/>
          <x val="0.3469268605203877"/>
          <y val="0.005807200929152149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615537231074462"/>
          <y val="0.09280592974658655"/>
          <w val="0.6812670069784583"/>
          <h val="0.9043997549086851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FF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00FFFF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June!$B$12:$B$13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June!$C$12:$C$13</f>
              <numCache>
                <formatCode>[$₹]#,##0.00</formatCode>
                <ptCount val="2"/>
                <pt idx="0">
                  <v>38500</v>
                </pt>
                <pt idx="1">
                  <v>76000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 xml:space="preserve">Actual Money Left </a:t>
            </a:r>
          </a:p>
        </rich>
      </tx>
      <layout>
        <manualLayout>
          <xMode val="edge"/>
          <yMode val="edge"/>
          <wMode val="factor"/>
          <hMode val="factor"/>
          <x val="0.24497902329138"/>
          <y val="0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59421810400349"/>
          <y val="0.08526533215038261"/>
          <w val="0.6810500765240757"/>
          <h val="0.9088661232486784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FF99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434343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June!$B$12:$B$13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June!$D$12:$D$13</f>
              <numCache>
                <formatCode>[$₹]#,##0.00</formatCode>
                <ptCount val="2"/>
                <pt idx="0">
                  <v>41400</v>
                </pt>
                <pt idx="1">
                  <v>81250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>Budget Left</a:t>
            </a:r>
          </a:p>
        </rich>
      </tx>
      <layout>
        <manualLayout>
          <xMode val="edge"/>
          <yMode val="edge"/>
          <wMode val="factor"/>
          <hMode val="factor"/>
          <x val="0.3469268605203877"/>
          <y val="0.005807200929152149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615537231074462"/>
          <y val="0.09280592974658655"/>
          <w val="0.6812670069784583"/>
          <h val="0.9043997549086851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FF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00FFFF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July!$B$12:$B$13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July!$C$12:$C$13</f>
              <numCache>
                <formatCode>[$₹]#,##0.00</formatCode>
                <ptCount val="2"/>
                <pt idx="0">
                  <v>38500</v>
                </pt>
                <pt idx="1">
                  <v>76000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 xml:space="preserve">Actual Money Left </a:t>
            </a:r>
          </a:p>
        </rich>
      </tx>
      <layout>
        <manualLayout>
          <xMode val="edge"/>
          <yMode val="edge"/>
          <wMode val="factor"/>
          <hMode val="factor"/>
          <x val="0.24497902329138"/>
          <y val="0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59421810400349"/>
          <y val="0.08526533215038261"/>
          <w val="0.6810500765240757"/>
          <h val="0.9088661232486784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FF99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434343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July!$B$12:$B$13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July!$D$12:$D$13</f>
              <numCache>
                <formatCode>[$₹]#,##0.00</formatCode>
                <ptCount val="2"/>
                <pt idx="0">
                  <v>43400</v>
                </pt>
                <pt idx="1">
                  <v>83250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>Budget Left</a:t>
            </a:r>
          </a:p>
        </rich>
      </tx>
      <layout>
        <manualLayout>
          <xMode val="edge"/>
          <yMode val="edge"/>
          <wMode val="factor"/>
          <hMode val="factor"/>
          <x val="0.3469268605203877"/>
          <y val="0.005807200929152149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615537231074462"/>
          <y val="0.09280592974658655"/>
          <w val="0.6812670069784583"/>
          <h val="0.9043997549086851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FF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00FFFF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August!$B$12:$B$13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August!$C$12:$C$13</f>
              <numCache>
                <formatCode>[$₹]#,##0.00</formatCode>
                <ptCount val="2"/>
                <pt idx="0">
                  <v>38500</v>
                </pt>
                <pt idx="1">
                  <v>76000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 xml:space="preserve">Actual Money Left </a:t>
            </a:r>
          </a:p>
        </rich>
      </tx>
      <layout>
        <manualLayout>
          <xMode val="edge"/>
          <yMode val="edge"/>
          <wMode val="factor"/>
          <hMode val="factor"/>
          <x val="0.24497902329138"/>
          <y val="0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59421810400349"/>
          <y val="0.08526533215038261"/>
          <w val="0.6810500765240757"/>
          <h val="0.9088661232486784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FF99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434343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August!$B$12:$B$13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August!$D$12:$D$13</f>
              <numCache>
                <formatCode>[$₹]#,##0.00</formatCode>
                <ptCount val="2"/>
                <pt idx="0">
                  <v>34400</v>
                </pt>
                <pt idx="1">
                  <v>74250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>Budget Left</a:t>
            </a:r>
          </a:p>
        </rich>
      </tx>
      <layout>
        <manualLayout>
          <xMode val="edge"/>
          <yMode val="edge"/>
          <wMode val="factor"/>
          <hMode val="factor"/>
          <x val="0.3469268605203877"/>
          <y val="0.005807200929152149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615537231074462"/>
          <y val="0.09280592974658655"/>
          <w val="0.6812670069784583"/>
          <h val="0.9043997549086851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FF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00FFFF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September!$B$12:$B$13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September!$C$12:$C$13</f>
              <numCache>
                <formatCode>[$₹]#,##0.00</formatCode>
                <ptCount val="2"/>
                <pt idx="0">
                  <v>38500</v>
                </pt>
                <pt idx="1">
                  <v>76000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 xml:space="preserve">Actual Money Left </a:t>
            </a:r>
          </a:p>
        </rich>
      </tx>
      <layout>
        <manualLayout>
          <xMode val="edge"/>
          <yMode val="edge"/>
          <wMode val="factor"/>
          <hMode val="factor"/>
          <x val="0.24497902329138"/>
          <y val="0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59421810400349"/>
          <y val="0.08526533215038261"/>
          <w val="0.6810500765240757"/>
          <h val="0.9088661232486784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FF99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434343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September!$B$12:$B$13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September!$D$12:$D$13</f>
              <numCache>
                <formatCode>[$₹]#,##0.00</formatCode>
                <ptCount val="2"/>
                <pt idx="0">
                  <v>37600</v>
                </pt>
                <pt idx="1">
                  <v>77450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>Budget Left</a:t>
            </a:r>
          </a:p>
        </rich>
      </tx>
      <layout>
        <manualLayout>
          <xMode val="edge"/>
          <yMode val="edge"/>
          <wMode val="factor"/>
          <hMode val="factor"/>
          <x val="0.3469268605203877"/>
          <y val="0.005807200929152149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615537231074462"/>
          <y val="0.09280592974658655"/>
          <w val="0.6812670069784583"/>
          <h val="0.9043997549086851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FF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00FFFF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October!$B$12:$B$13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October!$C$12:$C$13</f>
              <numCache>
                <formatCode>[$₹]#,##0.00</formatCode>
                <ptCount val="2"/>
                <pt idx="0">
                  <v>38500</v>
                </pt>
                <pt idx="1">
                  <v>76000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 xml:space="preserve">Actual Money Left </a:t>
            </a:r>
          </a:p>
        </rich>
      </tx>
      <layout>
        <manualLayout>
          <xMode val="edge"/>
          <yMode val="edge"/>
          <wMode val="factor"/>
          <hMode val="factor"/>
          <x val="0.24497902329138"/>
          <y val="0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59421810400349"/>
          <y val="0.08526533215038261"/>
          <w val="0.6810500765240757"/>
          <h val="0.9088661232486784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FF99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434343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October!$B$12:$B$13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October!$D$12:$D$13</f>
              <numCache>
                <formatCode>[$₹]#,##0.00</formatCode>
                <ptCount val="2"/>
                <pt idx="0">
                  <v>40300</v>
                </pt>
                <pt idx="1">
                  <v>80150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>Budget Left</a:t>
            </a:r>
          </a:p>
        </rich>
      </tx>
      <layout>
        <manualLayout>
          <xMode val="edge"/>
          <yMode val="edge"/>
          <wMode val="factor"/>
          <hMode val="factor"/>
          <x val="0.3469268605203877"/>
          <y val="0.005807200929152149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615537231074462"/>
          <y val="0.09280592974658655"/>
          <w val="0.6812670069784583"/>
          <h val="0.9043997549086851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FF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00FFFF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November!$B$12:$B$13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November!$C$12:$C$13</f>
              <numCache>
                <formatCode>[$₹]#,##0.00</formatCode>
                <ptCount val="2"/>
                <pt idx="0">
                  <v>38500</v>
                </pt>
                <pt idx="1">
                  <v>76000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 xml:space="preserve">Actual Money Left </a:t>
            </a:r>
          </a:p>
        </rich>
      </tx>
      <layout>
        <manualLayout>
          <xMode val="edge"/>
          <yMode val="edge"/>
          <wMode val="factor"/>
          <hMode val="factor"/>
          <x val="0.24497902329138"/>
          <y val="0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59421810400349"/>
          <y val="0.08526533215038261"/>
          <w val="0.6810500765240757"/>
          <h val="0.9088661232486784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FF99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434343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November!$B$12:$B$13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November!$D$12:$D$13</f>
              <numCache>
                <formatCode>[$₹]#,##0.00</formatCode>
                <ptCount val="2"/>
                <pt idx="0">
                  <v>41000</v>
                </pt>
                <pt idx="1">
                  <v>80850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>Budget Left</a:t>
            </a:r>
          </a:p>
        </rich>
      </tx>
      <layout>
        <manualLayout>
          <xMode val="edge"/>
          <yMode val="edge"/>
          <wMode val="factor"/>
          <hMode val="factor"/>
          <x val="0.3469268605203877"/>
          <y val="0.005807200929152149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615537231074462"/>
          <y val="0.09280592974658655"/>
          <w val="0.6812670069784583"/>
          <h val="0.9043997549086851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FF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00FFFF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December!$B$12:$B$13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December!$C$12:$C$13</f>
              <numCache>
                <formatCode>[$₹]#,##0.00</formatCode>
                <ptCount val="2"/>
                <pt idx="0">
                  <v>38500</v>
                </pt>
                <pt idx="1">
                  <v>76000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 xml:space="preserve">Actual Money Left </a:t>
            </a:r>
          </a:p>
        </rich>
      </tx>
      <layout>
        <manualLayout>
          <xMode val="edge"/>
          <yMode val="edge"/>
          <wMode val="factor"/>
          <hMode val="factor"/>
          <x val="0.24497902329138"/>
          <y val="0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59421810400349"/>
          <y val="0.08526533215038261"/>
          <w val="0.6810500765240757"/>
          <h val="0.9088661232486784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FF99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434343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December!$B$12:$B$13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December!$D$12:$D$13</f>
              <numCache>
                <formatCode>[$₹]#,##0.00</formatCode>
                <ptCount val="2"/>
                <pt idx="0">
                  <v>43800</v>
                </pt>
                <pt idx="1">
                  <v>83650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 /><Relationship Type="http://schemas.openxmlformats.org/officeDocument/2006/relationships/chart" Target="/xl/charts/chart11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2.xml" Id="rId1" /><Relationship Type="http://schemas.openxmlformats.org/officeDocument/2006/relationships/chart" Target="/xl/charts/chart13.xml" Id="rId2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14.xml" Id="rId1" /><Relationship Type="http://schemas.openxmlformats.org/officeDocument/2006/relationships/chart" Target="/xl/charts/chart15.xml" Id="rId2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16.xml" Id="rId1" /><Relationship Type="http://schemas.openxmlformats.org/officeDocument/2006/relationships/chart" Target="/xl/charts/chart17.xml" Id="rId2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18.xml" Id="rId1" /><Relationship Type="http://schemas.openxmlformats.org/officeDocument/2006/relationships/chart" Target="/xl/charts/chart19.xml" Id="rId2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20.xml" Id="rId1" /><Relationship Type="http://schemas.openxmlformats.org/officeDocument/2006/relationships/chart" Target="/xl/charts/chart21.xml" Id="rId2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22.xml" Id="rId1" /><Relationship Type="http://schemas.openxmlformats.org/officeDocument/2006/relationships/chart" Target="/xl/charts/chart23.xml" Id="rId2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24.xml" Id="rId1" /><Relationship Type="http://schemas.openxmlformats.org/officeDocument/2006/relationships/chart" Target="/xl/charts/chart25.xml" Id="rId2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6.xml" Id="rId1" /><Relationship Type="http://schemas.openxmlformats.org/officeDocument/2006/relationships/chart" Target="/xl/charts/chart27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11597</colOff>
      <row>10</row>
      <rowOff>1711</rowOff>
    </from>
    <to>
      <col>7</col>
      <colOff>11545</colOff>
      <row>23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391260</colOff>
      <row>9</row>
      <rowOff>193706</rowOff>
    </from>
    <to>
      <col>12</col>
      <colOff>392545</colOff>
      <row>23</row>
      <rowOff>11544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</col>
      <colOff>4704</colOff>
      <row>24</row>
      <rowOff>13427</rowOff>
    </from>
    <to>
      <col>6</col>
      <colOff>854363</colOff>
      <row>37</row>
      <rowOff>138546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175260</colOff>
      <row>1</row>
      <rowOff>0</rowOff>
    </from>
    <ext cx="2910840" cy="1866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15</col>
      <colOff>0</colOff>
      <row>1</row>
      <rowOff>7621</rowOff>
    </from>
    <ext cx="2903220" cy="18668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175260</colOff>
      <row>1</row>
      <rowOff>0</rowOff>
    </from>
    <ext cx="2903220" cy="1917032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15</col>
      <colOff>0</colOff>
      <row>1</row>
      <rowOff>7621</rowOff>
    </from>
    <ext cx="2903220" cy="1853264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175260</colOff>
      <row>1</row>
      <rowOff>0</rowOff>
    </from>
    <ext cx="2903220" cy="189296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15</col>
      <colOff>0</colOff>
      <row>1</row>
      <rowOff>7621</rowOff>
    </from>
    <ext cx="2903220" cy="1869306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175260</colOff>
      <row>1</row>
      <rowOff>0</rowOff>
    </from>
    <ext cx="2903220" cy="1876927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15</col>
      <colOff>0</colOff>
      <row>1</row>
      <rowOff>7621</rowOff>
    </from>
    <ext cx="2903220" cy="1877327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175260</colOff>
      <row>1</row>
      <rowOff>0</rowOff>
    </from>
    <ext cx="2903220" cy="190099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15</col>
      <colOff>0</colOff>
      <row>1</row>
      <rowOff>7621</rowOff>
    </from>
    <ext cx="2903220" cy="1877327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175260</colOff>
      <row>1</row>
      <rowOff>0</rowOff>
    </from>
    <ext cx="2903220" cy="189296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15</col>
      <colOff>0</colOff>
      <row>1</row>
      <rowOff>7621</rowOff>
    </from>
    <ext cx="2903220" cy="1885348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175260</colOff>
      <row>1</row>
      <rowOff>0</rowOff>
    </from>
    <ext cx="2903220" cy="1884948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15</col>
      <colOff>0</colOff>
      <row>1</row>
      <rowOff>7621</rowOff>
    </from>
    <ext cx="2903220" cy="1877327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175260</colOff>
      <row>1</row>
      <rowOff>0</rowOff>
    </from>
    <ext cx="2903220" cy="189296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15</col>
      <colOff>0</colOff>
      <row>1</row>
      <rowOff>7621</rowOff>
    </from>
    <ext cx="2903220" cy="1877327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175260</colOff>
      <row>1</row>
      <rowOff>0</rowOff>
    </from>
    <ext cx="2903220" cy="1909011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15</col>
      <colOff>0</colOff>
      <row>1</row>
      <rowOff>7621</rowOff>
    </from>
    <ext cx="2903220" cy="1885348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175260</colOff>
      <row>1</row>
      <rowOff>0</rowOff>
    </from>
    <ext cx="2903220" cy="189296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15</col>
      <colOff>0</colOff>
      <row>1</row>
      <rowOff>7621</rowOff>
    </from>
    <ext cx="2903220" cy="189336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175260</colOff>
      <row>1</row>
      <rowOff>0</rowOff>
    </from>
    <ext cx="2903220" cy="189296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15</col>
      <colOff>0</colOff>
      <row>1</row>
      <rowOff>7621</rowOff>
    </from>
    <ext cx="2903220" cy="1869306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175260</colOff>
      <row>1</row>
      <rowOff>0</rowOff>
    </from>
    <ext cx="2903220" cy="189296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15</col>
      <colOff>0</colOff>
      <row>1</row>
      <rowOff>7621</rowOff>
    </from>
    <ext cx="2903220" cy="1877327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1:Z41"/>
  <sheetViews>
    <sheetView topLeftCell="A2" zoomScale="66" zoomScaleNormal="81" workbookViewId="0">
      <selection activeCell="M2" sqref="M2:P3"/>
    </sheetView>
  </sheetViews>
  <sheetFormatPr baseColWidth="8" defaultColWidth="12.6640625" defaultRowHeight="15.75" customHeight="1"/>
  <cols>
    <col width="24.33203125" customWidth="1" style="53" min="10" max="10"/>
    <col width="33.21875" customWidth="1" style="53" min="18" max="18"/>
    <col hidden="1" width="13" customWidth="1" style="53" min="26" max="26"/>
  </cols>
  <sheetData>
    <row r="1" ht="15.75" customHeight="1" s="53">
      <c r="Z1" t="inlineStr">
        <is>
          <t>January</t>
        </is>
      </c>
    </row>
    <row r="2" ht="15.75" customHeight="1" s="53">
      <c r="B2" s="58" t="inlineStr">
        <is>
          <t>PERSONAL FINANCE DASHBOARD</t>
        </is>
      </c>
      <c r="M2" s="59" t="inlineStr">
        <is>
          <t>July</t>
        </is>
      </c>
      <c r="Z2" t="inlineStr">
        <is>
          <t>February</t>
        </is>
      </c>
    </row>
    <row r="3" ht="15.75" customHeight="1" s="53">
      <c r="Z3" t="inlineStr">
        <is>
          <t>March</t>
        </is>
      </c>
    </row>
    <row r="4" ht="15.75" customHeight="1" s="53">
      <c r="Z4" t="inlineStr">
        <is>
          <t>April</t>
        </is>
      </c>
    </row>
    <row r="5" ht="15.75" customHeight="1" s="53">
      <c r="B5" s="54" t="inlineStr">
        <is>
          <t>Total Income</t>
        </is>
      </c>
      <c r="E5" s="55" t="inlineStr">
        <is>
          <t>Total Expenses</t>
        </is>
      </c>
      <c r="H5" s="57" t="inlineStr">
        <is>
          <t>Total Savings</t>
        </is>
      </c>
      <c r="K5" s="56" t="inlineStr">
        <is>
          <t>Total Debt</t>
        </is>
      </c>
      <c r="N5" s="52" t="inlineStr">
        <is>
          <t>Budget Left</t>
        </is>
      </c>
      <c r="Z5" t="inlineStr">
        <is>
          <t>May</t>
        </is>
      </c>
    </row>
    <row r="6" ht="15.75" customHeight="1" s="53">
      <c r="B6" s="54">
        <f t="array" ref="B6">INDIRECT("'"&amp;$M$2&amp;"'!I12")</f>
        <v/>
      </c>
      <c r="E6" s="55">
        <f t="array" ref="E6">INDIRECT("'"&amp;$M$2&amp;"'!I25")</f>
        <v/>
      </c>
      <c r="H6" s="57">
        <f t="array" ref="H6">INDIRECT("'"&amp;$M$2&amp;"'!D25")</f>
        <v/>
      </c>
      <c r="K6" s="56">
        <f t="array" ref="K6">INDIRECT("'"&amp;$M$2&amp;"'!S25")</f>
        <v/>
      </c>
      <c r="N6" s="52">
        <f t="array" ref="N6">INDIRECT("'"&amp;$M$2&amp;"'!D12")</f>
        <v/>
      </c>
      <c r="Z6" t="inlineStr">
        <is>
          <t>June</t>
        </is>
      </c>
    </row>
    <row r="7" ht="15.75" customHeight="1" s="53">
      <c r="Z7" t="inlineStr">
        <is>
          <t>July</t>
        </is>
      </c>
    </row>
    <row r="8" ht="15.75" customHeight="1" s="53">
      <c r="Z8" t="inlineStr">
        <is>
          <t>August</t>
        </is>
      </c>
    </row>
    <row r="9" ht="15.75" customHeight="1" s="53">
      <c r="Z9" t="inlineStr">
        <is>
          <t>September</t>
        </is>
      </c>
    </row>
    <row r="10" ht="15.75" customHeight="1" s="53">
      <c r="V10" s="42" t="inlineStr">
        <is>
          <t>Category</t>
        </is>
      </c>
      <c r="W10" s="43" t="inlineStr">
        <is>
          <t>Actual</t>
        </is>
      </c>
      <c r="X10" s="44" t="n"/>
      <c r="Z10" t="inlineStr">
        <is>
          <t>October</t>
        </is>
      </c>
    </row>
    <row r="11" ht="15.75" customHeight="1" s="53" thickBot="1">
      <c r="V11" s="45" t="inlineStr">
        <is>
          <t>Bus</t>
        </is>
      </c>
      <c r="W11" s="46">
        <f t="array" ref="W11">INDIRECT("'"&amp;$M$2&amp;"'!I16")</f>
        <v/>
      </c>
      <c r="X11" s="44" t="n"/>
      <c r="Z11" t="inlineStr">
        <is>
          <t>November</t>
        </is>
      </c>
    </row>
    <row r="12" ht="15.75" customHeight="1" s="53" thickBot="1">
      <c r="N12" s="39" t="inlineStr">
        <is>
          <t>Metric</t>
        </is>
      </c>
      <c r="O12" s="39" t="inlineStr">
        <is>
          <t>Formula</t>
        </is>
      </c>
      <c r="P12" s="38" t="inlineStr">
        <is>
          <t xml:space="preserve">Output </t>
        </is>
      </c>
      <c r="V12" s="45" t="inlineStr">
        <is>
          <t>Uber/Rapido</t>
        </is>
      </c>
      <c r="W12" s="46">
        <f t="array" ref="W12">INDIRECT("'"&amp;$M$2&amp;"'!I17")</f>
        <v/>
      </c>
      <c r="X12" s="44" t="n"/>
      <c r="Z12" t="inlineStr">
        <is>
          <t>December</t>
        </is>
      </c>
    </row>
    <row r="13" ht="15.75" customHeight="1" s="53">
      <c r="N13" s="40" t="inlineStr">
        <is>
          <t>Savings Rate</t>
        </is>
      </c>
      <c r="O13" s="40" t="inlineStr">
        <is>
          <t>Savings ÷ Income</t>
        </is>
      </c>
      <c r="P13" s="36">
        <f>H6/B6</f>
        <v/>
      </c>
      <c r="V13" s="45" t="inlineStr">
        <is>
          <t>Dining Out</t>
        </is>
      </c>
      <c r="W13" s="46">
        <f t="array" ref="W13">INDIRECT("'"&amp;$M$2&amp;"'!I18")</f>
        <v/>
      </c>
      <c r="X13" s="44" t="n"/>
    </row>
    <row r="14" ht="15.75" customHeight="1" s="53">
      <c r="N14" s="40" t="inlineStr">
        <is>
          <t>Expense Ratio</t>
        </is>
      </c>
      <c r="O14" s="40" t="inlineStr">
        <is>
          <t>Expenses ÷ Income</t>
        </is>
      </c>
      <c r="P14" s="36">
        <f>E6/B6</f>
        <v/>
      </c>
      <c r="V14" s="45" t="inlineStr">
        <is>
          <t>Other Expenses</t>
        </is>
      </c>
      <c r="W14" s="46">
        <f t="array" ref="W14">INDIRECT("'"&amp;$M$2&amp;"'!I19")</f>
        <v/>
      </c>
      <c r="X14" s="44" t="n"/>
    </row>
    <row r="15" ht="15.75" customHeight="1" s="53">
      <c r="N15" s="40" t="inlineStr">
        <is>
          <t>Debt Ratio</t>
        </is>
      </c>
      <c r="O15" s="40" t="inlineStr">
        <is>
          <t>Debt ÷ Income</t>
        </is>
      </c>
      <c r="P15" s="36">
        <f>K6/B6</f>
        <v/>
      </c>
      <c r="V15" s="45" t="inlineStr">
        <is>
          <t>Food Outside</t>
        </is>
      </c>
      <c r="W15" s="46">
        <f t="array" ref="W15">INDIRECT("'"&amp;$M$2&amp;"'!I20")</f>
        <v/>
      </c>
      <c r="X15" s="44" t="n"/>
    </row>
    <row r="16" ht="15.75" customHeight="1" s="53" thickBot="1">
      <c r="N16" s="41" t="inlineStr">
        <is>
          <t>Budget Utilization</t>
        </is>
      </c>
      <c r="O16" s="41" t="inlineStr">
        <is>
          <t>Expenses ÷ Budget</t>
        </is>
      </c>
      <c r="P16" s="37">
        <f t="array" ref="P16">E6/INDIRECT("'"&amp;$M$2&amp;"'!H25")</f>
        <v/>
      </c>
      <c r="V16" s="45" t="inlineStr">
        <is>
          <t>Food Order</t>
        </is>
      </c>
      <c r="W16" s="46">
        <f t="array" ref="W16">INDIRECT("'"&amp;$M$2&amp;"'!I21")</f>
        <v/>
      </c>
      <c r="X16" s="44" t="n"/>
    </row>
    <row r="17" ht="22.8" customHeight="1" s="53">
      <c r="V17" s="44" t="n"/>
      <c r="W17" s="44" t="n"/>
      <c r="X17" s="44" t="n"/>
    </row>
    <row r="18" ht="32.4" customHeight="1" s="53">
      <c r="V18" s="44" t="n"/>
      <c r="W18" s="44" t="n"/>
      <c r="X18" s="44" t="n"/>
    </row>
    <row r="19" ht="15.75" customHeight="1" s="53">
      <c r="V19" s="42" t="inlineStr">
        <is>
          <t>Month</t>
        </is>
      </c>
      <c r="W19" s="43" t="inlineStr">
        <is>
          <t>Balance</t>
        </is>
      </c>
      <c r="X19" s="44" t="n"/>
    </row>
    <row r="20" ht="15.75" customHeight="1" s="53">
      <c r="V20" s="45" t="inlineStr">
        <is>
          <t>January</t>
        </is>
      </c>
      <c r="W20" s="46">
        <f>January!D12</f>
        <v/>
      </c>
      <c r="X20" s="44" t="n"/>
    </row>
    <row r="21" ht="15.75" customHeight="1" s="53">
      <c r="V21" s="45" t="inlineStr">
        <is>
          <t>February</t>
        </is>
      </c>
      <c r="W21" s="46">
        <f>February!D12</f>
        <v/>
      </c>
      <c r="X21" s="44" t="n"/>
    </row>
    <row r="22" ht="15.75" customHeight="1" s="53">
      <c r="V22" s="45" t="inlineStr">
        <is>
          <t>March</t>
        </is>
      </c>
      <c r="W22" s="46">
        <f>March!D12</f>
        <v/>
      </c>
      <c r="X22" s="44" t="n"/>
    </row>
    <row r="23" ht="15.75" customHeight="1" s="53">
      <c r="V23" s="45" t="inlineStr">
        <is>
          <t>April</t>
        </is>
      </c>
      <c r="W23" s="46">
        <f>April!D12</f>
        <v/>
      </c>
      <c r="X23" s="44" t="n"/>
    </row>
    <row r="24" ht="38.4" customHeight="1" s="53">
      <c r="V24" s="45" t="inlineStr">
        <is>
          <t>May</t>
        </is>
      </c>
      <c r="W24" s="46">
        <f>May!D12</f>
        <v/>
      </c>
      <c r="X24" s="44" t="n"/>
    </row>
    <row r="25" ht="33.6" customHeight="1" s="53">
      <c r="J25" s="34" t="inlineStr">
        <is>
          <t>Financial Insights</t>
        </is>
      </c>
      <c r="V25" s="45" t="inlineStr">
        <is>
          <t>June</t>
        </is>
      </c>
      <c r="W25" s="46">
        <f>June!D12</f>
        <v/>
      </c>
      <c r="X25" s="44" t="n"/>
    </row>
    <row r="26" ht="28.2" customHeight="1" s="53">
      <c r="J26" s="33" t="n"/>
      <c r="V26" s="45" t="inlineStr">
        <is>
          <t>July</t>
        </is>
      </c>
      <c r="W26" s="44">
        <f>July!D12</f>
        <v/>
      </c>
      <c r="X26" s="44" t="n"/>
    </row>
    <row r="27" ht="31.2" customHeight="1" s="53">
      <c r="J27" s="34" t="inlineStr">
        <is>
          <t>✔ Savings Rate: 19.0%</t>
        </is>
      </c>
      <c r="V27" s="45" t="inlineStr">
        <is>
          <t>August</t>
        </is>
      </c>
      <c r="W27" s="44">
        <f>August!D12</f>
        <v/>
      </c>
      <c r="X27" s="44" t="n"/>
    </row>
    <row r="28" ht="33.6" customHeight="1" s="53">
      <c r="J28" s="33" t="n"/>
      <c r="V28" s="45" t="inlineStr">
        <is>
          <t>September</t>
        </is>
      </c>
      <c r="W28" s="44">
        <f>September!D12</f>
        <v/>
      </c>
      <c r="X28" s="44" t="n"/>
    </row>
    <row r="29" ht="15.75" customHeight="1" s="53">
      <c r="J29" s="33" t="inlineStr">
        <is>
          <t>✔ Largest Expense:</t>
        </is>
      </c>
      <c r="V29" s="45" t="inlineStr">
        <is>
          <t>October</t>
        </is>
      </c>
      <c r="W29" s="44">
        <f>October!D12</f>
        <v/>
      </c>
      <c r="X29" s="44" t="n"/>
    </row>
    <row r="30" ht="15.75" customHeight="1" s="53">
      <c r="J30" s="34" t="inlineStr">
        <is>
          <t>Bills</t>
        </is>
      </c>
      <c r="V30" s="45" t="inlineStr">
        <is>
          <t>November</t>
        </is>
      </c>
      <c r="W30" s="44">
        <f>November!D12</f>
        <v/>
      </c>
      <c r="X30" s="44" t="n"/>
    </row>
    <row r="31" ht="15.75" customHeight="1" s="53">
      <c r="J31" s="33" t="n"/>
      <c r="V31" s="45" t="inlineStr">
        <is>
          <t>December</t>
        </is>
      </c>
      <c r="W31" s="44">
        <f>December!D12</f>
        <v/>
      </c>
      <c r="X31" s="44" t="n"/>
    </row>
    <row r="32" ht="15.75" customHeight="1" s="53">
      <c r="J32" s="33" t="inlineStr">
        <is>
          <t>✔ Budget Status:</t>
        </is>
      </c>
      <c r="V32" s="44" t="n"/>
      <c r="W32" s="44" t="n"/>
      <c r="X32" s="44" t="n"/>
    </row>
    <row r="33" ht="15.75" customHeight="1" s="53">
      <c r="J33" s="34" t="inlineStr">
        <is>
          <t>Under Budget</t>
        </is>
      </c>
      <c r="V33" s="44" t="n"/>
      <c r="W33" s="44" t="n"/>
      <c r="X33" s="44" t="n"/>
    </row>
    <row r="34" ht="15.75" customHeight="1" s="53">
      <c r="J34" s="33" t="n"/>
      <c r="V34" s="42" t="inlineStr">
        <is>
          <t>A</t>
        </is>
      </c>
      <c r="W34" s="43" t="inlineStr">
        <is>
          <t>B</t>
        </is>
      </c>
      <c r="X34" s="43" t="inlineStr">
        <is>
          <t>C</t>
        </is>
      </c>
    </row>
    <row r="35" ht="15.75" customHeight="1" s="53">
      <c r="J35" s="33" t="inlineStr">
        <is>
          <t>✔ Net Balance:</t>
        </is>
      </c>
      <c r="V35" s="45" t="inlineStr">
        <is>
          <t>Category</t>
        </is>
      </c>
      <c r="W35" s="46" t="inlineStr">
        <is>
          <t>Budget</t>
        </is>
      </c>
      <c r="X35" s="46" t="inlineStr">
        <is>
          <t>Actual</t>
        </is>
      </c>
    </row>
    <row r="36" ht="15.75" customHeight="1" s="53">
      <c r="J36" s="73" t="n">
        <v>39400</v>
      </c>
      <c r="V36" s="45" t="inlineStr">
        <is>
          <t>Income</t>
        </is>
      </c>
      <c r="W36" s="46">
        <f t="array" ref="W36">INDIRECT("'"&amp;$M$2&amp;"'!H12")</f>
        <v/>
      </c>
      <c r="X36" s="46">
        <f t="array" ref="X36">INDIRECT("'"&amp;$M$2&amp;"'!I12")</f>
        <v/>
      </c>
    </row>
    <row r="37" ht="15.75" customHeight="1" s="53">
      <c r="V37" s="45" t="inlineStr">
        <is>
          <t>Expenses</t>
        </is>
      </c>
      <c r="W37" s="46">
        <f t="array" ref="W37">INDIRECT("'"&amp;$M$2&amp;"'!H25")</f>
        <v/>
      </c>
      <c r="X37" s="46">
        <f t="array" ref="X37">INDIRECT("'"&amp;$M$2&amp;"'!I25")</f>
        <v/>
      </c>
    </row>
    <row r="38" ht="15.75" customHeight="1" s="53">
      <c r="V38" s="45" t="inlineStr">
        <is>
          <t>Bills</t>
        </is>
      </c>
      <c r="W38" s="46">
        <f t="array" ref="W38">INDIRECT("'"&amp;$M$2&amp;"'!M25")</f>
        <v/>
      </c>
      <c r="X38" s="46">
        <f t="array" ref="X38">INDIRECT("'"&amp;$M$2&amp;"'!N25")</f>
        <v/>
      </c>
    </row>
    <row r="39" ht="15.75" customHeight="1" s="53">
      <c r="V39" s="45" t="inlineStr">
        <is>
          <t>Savings</t>
        </is>
      </c>
      <c r="W39" s="46">
        <f t="array" ref="W39">INDIRECT("'"&amp;$M$2&amp;"'!C25")</f>
        <v/>
      </c>
      <c r="X39" s="46">
        <f t="array" ref="X39">INDIRECT("'"&amp;$M$2&amp;"'!D25")</f>
        <v/>
      </c>
    </row>
    <row r="40" ht="15.75" customHeight="1" s="53">
      <c r="V40" s="45" t="inlineStr">
        <is>
          <t>Debt</t>
        </is>
      </c>
      <c r="W40" s="46">
        <f t="array" ref="W40">INDIRECT("'"&amp;$M$2&amp;"'!R25")</f>
        <v/>
      </c>
      <c r="X40" s="46">
        <f t="array" ref="X40">INDIRECT("'"&amp;$M$2&amp;"'!S25")</f>
        <v/>
      </c>
    </row>
    <row r="41" ht="15.75" customHeight="1" s="53">
      <c r="V41" s="44" t="n"/>
      <c r="W41" s="44" t="n"/>
      <c r="X41" s="44" t="n"/>
    </row>
  </sheetData>
  <mergeCells count="12">
    <mergeCell ref="N6:P8"/>
    <mergeCell ref="B5:D5"/>
    <mergeCell ref="B6:D8"/>
    <mergeCell ref="E5:G5"/>
    <mergeCell ref="K5:M5"/>
    <mergeCell ref="H5:J5"/>
    <mergeCell ref="E6:G8"/>
    <mergeCell ref="K6:M8"/>
    <mergeCell ref="N5:P5"/>
    <mergeCell ref="B2:L3"/>
    <mergeCell ref="H6:J8"/>
    <mergeCell ref="M2:P3"/>
  </mergeCells>
  <dataValidations count="1">
    <dataValidation sqref="M2" showDropDown="0" showInputMessage="1" showErrorMessage="1" allowBlank="1" type="list">
      <formula1>$Z$1:$Z$12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B2:S25"/>
  <sheetViews>
    <sheetView showGridLines="0" workbookViewId="0">
      <selection activeCell="I21" sqref="I21"/>
    </sheetView>
  </sheetViews>
  <sheetFormatPr baseColWidth="8" defaultColWidth="12.6640625" defaultRowHeight="15.75" customHeight="1"/>
  <cols>
    <col width="2.6640625" customWidth="1" style="53" min="1" max="1"/>
    <col width="11.33203125" customWidth="1" style="53" min="3" max="4"/>
    <col width="2.6640625" customWidth="1" style="53" min="5" max="5"/>
    <col width="14.44140625" customWidth="1" style="53" min="6" max="6"/>
    <col width="5.109375" customWidth="1" style="53" min="7" max="7"/>
    <col width="11.33203125" customWidth="1" style="53" min="8" max="9"/>
    <col width="2.6640625" customWidth="1" style="53" min="10" max="10"/>
    <col width="14.44140625" customWidth="1" style="53" min="11" max="11"/>
    <col width="5.109375" customWidth="1" style="53" min="12" max="12"/>
    <col width="11.33203125" customWidth="1" style="53" min="13" max="14"/>
    <col width="2.6640625" customWidth="1" style="53" min="15" max="15"/>
    <col width="14.44140625" customWidth="1" style="53" min="16" max="16"/>
    <col width="5.109375" customWidth="1" style="53" min="17" max="17"/>
    <col width="11.33203125" customWidth="1" style="53" min="18" max="19"/>
  </cols>
  <sheetData>
    <row r="2" ht="15.75" customHeight="1" s="53">
      <c r="B2" s="70" t="inlineStr">
        <is>
          <t>January</t>
        </is>
      </c>
      <c r="E2" s="1" t="n"/>
      <c r="F2" s="66" t="inlineStr">
        <is>
          <t>Income</t>
        </is>
      </c>
      <c r="K2" s="25" t="n"/>
      <c r="L2" s="26" t="n"/>
      <c r="M2" s="26" t="n"/>
      <c r="N2" s="27" t="n"/>
      <c r="P2" s="25" t="n"/>
      <c r="Q2" s="26" t="n"/>
      <c r="R2" s="26" t="n"/>
      <c r="S2" s="27" t="n"/>
    </row>
    <row r="3" ht="13.2" customHeight="1" s="53">
      <c r="B3" s="61" t="inlineStr">
        <is>
          <t>Monthly Budget</t>
        </is>
      </c>
      <c r="F3" s="2" t="n"/>
      <c r="G3" s="3" t="inlineStr">
        <is>
          <t xml:space="preserve">Date </t>
        </is>
      </c>
      <c r="H3" s="4" t="inlineStr">
        <is>
          <t xml:space="preserve">Budget </t>
        </is>
      </c>
      <c r="I3" s="4" t="inlineStr">
        <is>
          <t>Actual</t>
        </is>
      </c>
      <c r="K3" s="28" t="n"/>
      <c r="N3" s="29" t="n"/>
      <c r="P3" s="28" t="n"/>
      <c r="S3" s="29" t="n"/>
    </row>
    <row r="4" ht="13.2" customHeight="1" s="53">
      <c r="B4" s="5" t="n"/>
      <c r="C4" s="5" t="n"/>
      <c r="D4" s="5" t="n"/>
      <c r="E4" s="6" t="n"/>
      <c r="F4" s="7" t="inlineStr">
        <is>
          <t xml:space="preserve">Pay Check </t>
        </is>
      </c>
      <c r="G4" s="8" t="n"/>
      <c r="H4" s="9" t="n">
        <v>65000</v>
      </c>
      <c r="I4" s="9" t="n">
        <v>65000</v>
      </c>
      <c r="K4" s="28" t="n"/>
      <c r="N4" s="29" t="n"/>
      <c r="P4" s="28" t="n"/>
      <c r="S4" s="29" t="n"/>
    </row>
    <row r="5" ht="13.2" customHeight="1" s="53">
      <c r="B5" s="62" t="inlineStr">
        <is>
          <t xml:space="preserve">Cash Flow </t>
        </is>
      </c>
      <c r="E5" s="6" t="n"/>
      <c r="F5" s="7" t="inlineStr">
        <is>
          <t>Other Income</t>
        </is>
      </c>
      <c r="G5" s="8" t="n"/>
      <c r="H5" s="9" t="n">
        <v>3000</v>
      </c>
      <c r="I5" s="9" t="n">
        <v>6250</v>
      </c>
      <c r="K5" s="28" t="n"/>
      <c r="N5" s="29" t="n"/>
      <c r="P5" s="28" t="n"/>
      <c r="S5" s="29" t="n"/>
    </row>
    <row r="6" ht="13.2" customHeight="1" s="53">
      <c r="B6" s="10" t="n"/>
      <c r="C6" s="11" t="inlineStr">
        <is>
          <t xml:space="preserve">Budget </t>
        </is>
      </c>
      <c r="D6" s="11" t="inlineStr">
        <is>
          <t>Actual</t>
        </is>
      </c>
      <c r="E6" s="6" t="n"/>
      <c r="F6" s="7" t="n"/>
      <c r="G6" s="8" t="n"/>
      <c r="H6" s="9" t="n"/>
      <c r="I6" s="9" t="n"/>
      <c r="K6" s="28" t="n"/>
      <c r="N6" s="29" t="n"/>
      <c r="P6" s="28" t="n"/>
      <c r="S6" s="29" t="n"/>
    </row>
    <row r="7" ht="13.2" customHeight="1" s="53">
      <c r="B7" s="7" t="inlineStr">
        <is>
          <t xml:space="preserve">Start Balance </t>
        </is>
      </c>
      <c r="C7" s="9" t="n">
        <v>8000</v>
      </c>
      <c r="D7" s="9" t="n">
        <v>8000</v>
      </c>
      <c r="F7" s="7" t="n"/>
      <c r="G7" s="8" t="n"/>
      <c r="H7" s="9" t="n"/>
      <c r="I7" s="9" t="n"/>
      <c r="K7" s="67">
        <f>C12</f>
        <v/>
      </c>
      <c r="N7" s="68" t="n"/>
      <c r="P7" s="67">
        <f>D12</f>
        <v/>
      </c>
      <c r="S7" s="68" t="n"/>
    </row>
    <row r="8" ht="13.2" customHeight="1" s="53">
      <c r="B8" s="7" t="inlineStr">
        <is>
          <t>Income</t>
        </is>
      </c>
      <c r="C8" s="9" t="n">
        <v>68000</v>
      </c>
      <c r="D8" s="9" t="n">
        <v>71250</v>
      </c>
      <c r="F8" s="7" t="n"/>
      <c r="G8" s="8" t="n"/>
      <c r="H8" s="9" t="n"/>
      <c r="I8" s="9" t="n"/>
      <c r="K8" s="69" t="n"/>
      <c r="N8" s="68" t="n"/>
      <c r="P8" s="69" t="n"/>
      <c r="S8" s="68" t="n"/>
    </row>
    <row r="9" ht="13.2" customHeight="1" s="53">
      <c r="B9" s="7" t="inlineStr">
        <is>
          <t>Expense</t>
        </is>
      </c>
      <c r="C9" s="9" t="n">
        <v>18500</v>
      </c>
      <c r="D9" s="9" t="n">
        <v>19350</v>
      </c>
      <c r="F9" s="7" t="n"/>
      <c r="G9" s="8" t="n"/>
      <c r="H9" s="9" t="n"/>
      <c r="I9" s="9" t="n"/>
      <c r="K9" s="28" t="n"/>
      <c r="N9" s="29" t="n"/>
      <c r="P9" s="28" t="n"/>
      <c r="S9" s="29" t="n"/>
    </row>
    <row r="10" ht="13.2" customHeight="1" s="53">
      <c r="B10" s="7" t="inlineStr">
        <is>
          <t xml:space="preserve">Debt </t>
        </is>
      </c>
      <c r="C10" s="9" t="n">
        <v>7000</v>
      </c>
      <c r="D10" s="9" t="n">
        <v>7000</v>
      </c>
      <c r="F10" s="7" t="n"/>
      <c r="G10" s="8" t="n"/>
      <c r="H10" s="9" t="n"/>
      <c r="I10" s="9" t="n"/>
      <c r="K10" s="28" t="n"/>
      <c r="N10" s="29" t="n"/>
      <c r="P10" s="28" t="n"/>
      <c r="S10" s="29" t="n"/>
    </row>
    <row r="11" ht="13.2" customHeight="1" s="53">
      <c r="B11" s="7" t="inlineStr">
        <is>
          <t>Savings</t>
        </is>
      </c>
      <c r="C11" s="9" t="n">
        <v>12000</v>
      </c>
      <c r="D11" s="9" t="n">
        <v>13500</v>
      </c>
      <c r="F11" s="7" t="n"/>
      <c r="G11" s="8" t="n"/>
      <c r="H11" s="9" t="n"/>
      <c r="I11" s="9" t="n"/>
      <c r="K11" s="28" t="n"/>
      <c r="N11" s="29" t="n"/>
      <c r="P11" s="28" t="n"/>
      <c r="S11" s="29" t="n"/>
    </row>
    <row r="12" ht="13.2" customHeight="1" s="53">
      <c r="B12" s="7" t="inlineStr">
        <is>
          <t>Balance</t>
        </is>
      </c>
      <c r="C12" s="9">
        <f>C7+C8-C9-C10-C11</f>
        <v/>
      </c>
      <c r="D12" s="9">
        <f>D7+D8-D9-D10-D11</f>
        <v/>
      </c>
      <c r="F12" s="7" t="inlineStr">
        <is>
          <t>Balance</t>
        </is>
      </c>
      <c r="G12" s="8" t="n"/>
      <c r="H12" s="9">
        <f>SUM(H4:H11)</f>
        <v/>
      </c>
      <c r="I12" s="9">
        <f>SUM(I4:I11)</f>
        <v/>
      </c>
      <c r="K12" s="30" t="n"/>
      <c r="L12" s="31" t="n"/>
      <c r="M12" s="31" t="n"/>
      <c r="N12" s="32" t="n"/>
      <c r="P12" s="30" t="n"/>
      <c r="Q12" s="31" t="n"/>
      <c r="R12" s="31" t="n"/>
      <c r="S12" s="32" t="n"/>
    </row>
    <row r="13" ht="13.2" customHeight="1" s="53">
      <c r="B13" s="12" t="inlineStr">
        <is>
          <t>Spent</t>
        </is>
      </c>
      <c r="C13" s="13">
        <f>SUM(C9:C12)</f>
        <v/>
      </c>
      <c r="D13" s="13">
        <f>SUM(D9:D12)</f>
        <v/>
      </c>
    </row>
    <row r="14" ht="13.2" customHeight="1" s="53">
      <c r="B14" s="65" t="inlineStr">
        <is>
          <t>Savings &amp; Investments</t>
        </is>
      </c>
      <c r="E14" s="5" t="n"/>
      <c r="F14" s="60" t="inlineStr">
        <is>
          <t>Expenses</t>
        </is>
      </c>
      <c r="K14" s="63" t="inlineStr">
        <is>
          <t xml:space="preserve">Bills </t>
        </is>
      </c>
      <c r="P14" s="64" t="inlineStr">
        <is>
          <t xml:space="preserve">Debts </t>
        </is>
      </c>
    </row>
    <row r="15" ht="13.2" customHeight="1" s="53">
      <c r="B15" s="14" t="n"/>
      <c r="C15" s="15" t="inlineStr">
        <is>
          <t xml:space="preserve">Budget </t>
        </is>
      </c>
      <c r="D15" s="15" t="inlineStr">
        <is>
          <t>Actual</t>
        </is>
      </c>
      <c r="F15" s="16" t="n"/>
      <c r="G15" s="17" t="inlineStr">
        <is>
          <t>Date</t>
        </is>
      </c>
      <c r="H15" s="17" t="inlineStr">
        <is>
          <t>Budget</t>
        </is>
      </c>
      <c r="I15" s="17" t="inlineStr">
        <is>
          <t>Actual</t>
        </is>
      </c>
      <c r="K15" s="18" t="n"/>
      <c r="L15" s="19" t="inlineStr">
        <is>
          <t xml:space="preserve">Date </t>
        </is>
      </c>
      <c r="M15" s="19" t="inlineStr">
        <is>
          <t xml:space="preserve">Budget </t>
        </is>
      </c>
      <c r="N15" s="19" t="inlineStr">
        <is>
          <t xml:space="preserve">Actual </t>
        </is>
      </c>
      <c r="P15" s="20" t="n"/>
      <c r="Q15" s="21" t="inlineStr">
        <is>
          <t xml:space="preserve">Date </t>
        </is>
      </c>
      <c r="R15" s="21" t="inlineStr">
        <is>
          <t xml:space="preserve">Budget </t>
        </is>
      </c>
      <c r="S15" s="21" t="inlineStr">
        <is>
          <t xml:space="preserve">Actual </t>
        </is>
      </c>
    </row>
    <row r="16" ht="13.2" customHeight="1" s="53">
      <c r="B16" s="7" t="inlineStr">
        <is>
          <t>Emergency</t>
        </is>
      </c>
      <c r="C16" s="22" t="n">
        <v>5000</v>
      </c>
      <c r="D16" s="22" t="n">
        <v>5000</v>
      </c>
      <c r="E16" s="6" t="n"/>
      <c r="F16" s="7" t="inlineStr">
        <is>
          <t xml:space="preserve">Bus </t>
        </is>
      </c>
      <c r="G16" s="23" t="n"/>
      <c r="H16" s="9" t="n">
        <v>1500</v>
      </c>
      <c r="I16" s="9" t="n">
        <v>1350</v>
      </c>
      <c r="K16" s="7" t="inlineStr">
        <is>
          <t xml:space="preserve">Rent </t>
        </is>
      </c>
      <c r="L16" s="7" t="n"/>
      <c r="M16" s="9" t="n">
        <v>15000</v>
      </c>
      <c r="N16" s="9" t="n">
        <v>15000</v>
      </c>
      <c r="P16" s="7" t="inlineStr">
        <is>
          <t xml:space="preserve">Visa Card </t>
        </is>
      </c>
      <c r="Q16" s="7" t="n"/>
      <c r="R16" s="9" t="n">
        <v>2500</v>
      </c>
      <c r="S16" s="9" t="n">
        <v>2500</v>
      </c>
    </row>
    <row r="17" ht="13.2" customHeight="1" s="53">
      <c r="B17" s="7" t="inlineStr">
        <is>
          <t xml:space="preserve">Vacation </t>
        </is>
      </c>
      <c r="C17" s="22" t="n">
        <v>2000</v>
      </c>
      <c r="D17" s="22" t="n">
        <v>1500</v>
      </c>
      <c r="E17" s="6" t="n"/>
      <c r="F17" s="7" t="inlineStr">
        <is>
          <t>Uber/Rapido</t>
        </is>
      </c>
      <c r="G17" s="7" t="n"/>
      <c r="H17" s="9" t="n">
        <v>2500</v>
      </c>
      <c r="I17" s="9" t="n">
        <v>2900</v>
      </c>
      <c r="K17" s="7" t="inlineStr">
        <is>
          <t>Electricity</t>
        </is>
      </c>
      <c r="L17" s="7" t="n"/>
      <c r="M17" s="9" t="n">
        <v>2000</v>
      </c>
      <c r="N17" s="9" t="n">
        <v>2250</v>
      </c>
      <c r="P17" s="7" t="inlineStr">
        <is>
          <t>Mastercaard</t>
        </is>
      </c>
      <c r="Q17" s="7" t="n"/>
      <c r="R17" s="9" t="n">
        <v>2000</v>
      </c>
      <c r="S17" s="9" t="n">
        <v>2000</v>
      </c>
    </row>
    <row r="18" ht="13.2" customHeight="1" s="53">
      <c r="B18" s="7" t="inlineStr">
        <is>
          <t xml:space="preserve">Other </t>
        </is>
      </c>
      <c r="C18" s="22" t="n">
        <v>1000</v>
      </c>
      <c r="D18" s="22" t="n">
        <v>800</v>
      </c>
      <c r="E18" s="6" t="n"/>
      <c r="F18" s="7" t="inlineStr">
        <is>
          <t>Dining Out</t>
        </is>
      </c>
      <c r="G18" s="7" t="n"/>
      <c r="H18" s="9" t="n">
        <v>3500</v>
      </c>
      <c r="I18" s="9" t="n">
        <v>4100</v>
      </c>
      <c r="K18" s="7" t="inlineStr">
        <is>
          <t>Cell Phone</t>
        </is>
      </c>
      <c r="L18" s="7" t="n"/>
      <c r="M18" s="9" t="n">
        <v>800</v>
      </c>
      <c r="N18" s="9" t="n">
        <v>799</v>
      </c>
      <c r="P18" s="7" t="inlineStr">
        <is>
          <t>Personal Loan</t>
        </is>
      </c>
      <c r="Q18" s="7" t="n"/>
      <c r="R18" s="9" t="n">
        <v>2500</v>
      </c>
      <c r="S18" s="9" t="n">
        <v>2500</v>
      </c>
    </row>
    <row r="19" ht="13.2" customHeight="1" s="53">
      <c r="B19" s="7" t="inlineStr">
        <is>
          <t>Investment</t>
        </is>
      </c>
      <c r="C19" s="22" t="n">
        <v>4000</v>
      </c>
      <c r="D19" s="22" t="n">
        <v>6200</v>
      </c>
      <c r="E19" s="6" t="n"/>
      <c r="F19" s="7" t="inlineStr">
        <is>
          <t>Other Expenses</t>
        </is>
      </c>
      <c r="G19" s="24" t="n"/>
      <c r="H19" s="9" t="n">
        <v>2000</v>
      </c>
      <c r="I19" s="9" t="n">
        <v>1700</v>
      </c>
      <c r="K19" s="7" t="inlineStr">
        <is>
          <t xml:space="preserve">Internet </t>
        </is>
      </c>
      <c r="L19" s="7" t="n"/>
      <c r="M19" s="9" t="n">
        <v>1000</v>
      </c>
      <c r="N19" s="9" t="n">
        <v>999</v>
      </c>
      <c r="Q19" s="7" t="n"/>
      <c r="R19" s="9" t="n"/>
      <c r="S19" s="9" t="n"/>
    </row>
    <row r="20" ht="13.2" customHeight="1" s="53">
      <c r="C20" s="9" t="n"/>
      <c r="D20" s="9" t="n"/>
      <c r="E20" s="6" t="n"/>
      <c r="F20" s="7" t="inlineStr">
        <is>
          <t>Food Outside</t>
        </is>
      </c>
      <c r="G20" s="7" t="n"/>
      <c r="H20" s="9" t="n">
        <v>4000</v>
      </c>
      <c r="I20" s="9" t="n">
        <v>4350</v>
      </c>
      <c r="K20" s="7" t="inlineStr">
        <is>
          <t>Bus Pass</t>
        </is>
      </c>
      <c r="L20" s="7" t="n"/>
      <c r="M20" s="9" t="n">
        <v>1200</v>
      </c>
      <c r="N20" s="9" t="n">
        <v>1200</v>
      </c>
      <c r="P20" s="7" t="n"/>
      <c r="Q20" s="7" t="n"/>
      <c r="R20" s="9" t="n"/>
      <c r="S20" s="9" t="n"/>
    </row>
    <row r="21" ht="13.2" customHeight="1" s="53">
      <c r="B21" s="7" t="n"/>
      <c r="C21" s="9" t="n"/>
      <c r="D21" s="9" t="n"/>
      <c r="F21" s="7" t="inlineStr">
        <is>
          <t>Food Order</t>
        </is>
      </c>
      <c r="G21" s="23" t="n"/>
      <c r="H21" s="9" t="n">
        <v>5000</v>
      </c>
      <c r="I21" s="9" t="n">
        <v>4950</v>
      </c>
      <c r="L21" s="7" t="n"/>
      <c r="M21" s="9" t="n"/>
      <c r="N21" s="9" t="n"/>
      <c r="P21" s="7" t="n"/>
      <c r="Q21" s="7" t="n"/>
      <c r="R21" s="9" t="n"/>
      <c r="S21" s="9" t="n"/>
    </row>
    <row r="22" ht="13.2" customHeight="1" s="53">
      <c r="B22" s="7" t="n"/>
      <c r="C22" s="9" t="n"/>
      <c r="D22" s="9" t="n"/>
      <c r="G22" s="7" t="n"/>
      <c r="H22" s="9" t="n"/>
      <c r="I22" s="9" t="n"/>
      <c r="K22" s="7" t="n"/>
      <c r="L22" s="7" t="n"/>
      <c r="M22" s="9" t="n"/>
      <c r="N22" s="9" t="n"/>
      <c r="P22" s="7" t="n"/>
      <c r="Q22" s="7" t="n"/>
      <c r="R22" s="9" t="n"/>
      <c r="S22" s="9" t="n"/>
    </row>
    <row r="23" ht="13.2" customHeight="1" s="53">
      <c r="B23" s="7" t="n"/>
      <c r="C23" s="9" t="n"/>
      <c r="D23" s="9" t="n"/>
      <c r="F23" s="7" t="n"/>
      <c r="G23" s="7" t="n"/>
      <c r="H23" s="9" t="n"/>
      <c r="I23" s="9" t="n"/>
      <c r="K23" s="7" t="n"/>
      <c r="L23" s="7" t="n"/>
      <c r="M23" s="9" t="n"/>
      <c r="N23" s="9" t="n"/>
      <c r="P23" s="7" t="n"/>
      <c r="Q23" s="7" t="n"/>
      <c r="R23" s="9" t="n"/>
      <c r="S23" s="9" t="n"/>
    </row>
    <row r="24" ht="13.2" customHeight="1" s="53">
      <c r="B24" s="7" t="n"/>
      <c r="C24" s="9" t="n"/>
      <c r="D24" s="9" t="n"/>
      <c r="F24" s="7" t="n"/>
      <c r="G24" s="7" t="n"/>
      <c r="H24" s="9" t="n"/>
      <c r="I24" s="9" t="n"/>
      <c r="K24" s="7" t="n"/>
      <c r="L24" s="7" t="n"/>
      <c r="M24" s="9" t="n"/>
      <c r="N24" s="9" t="n"/>
      <c r="P24" s="7" t="n"/>
      <c r="Q24" s="7" t="n"/>
      <c r="R24" s="9" t="n"/>
      <c r="S24" s="9" t="n"/>
    </row>
    <row r="25" ht="13.2" customHeight="1" s="53">
      <c r="B25" s="7" t="inlineStr">
        <is>
          <t>Balance</t>
        </is>
      </c>
      <c r="C25" s="9">
        <f>SUM(C16:C24)</f>
        <v/>
      </c>
      <c r="D25" s="9">
        <f>SUM(D16:D24)</f>
        <v/>
      </c>
      <c r="F25" s="7" t="inlineStr">
        <is>
          <t>Balance</t>
        </is>
      </c>
      <c r="G25" s="7" t="n"/>
      <c r="H25" s="9">
        <f>SUM(H16:H24)</f>
        <v/>
      </c>
      <c r="I25" s="9">
        <f>SUM(I16:I24)</f>
        <v/>
      </c>
      <c r="K25" s="7" t="inlineStr">
        <is>
          <t>Balance</t>
        </is>
      </c>
      <c r="L25" s="7" t="n"/>
      <c r="M25" s="9">
        <f>SUM(M16:M20)</f>
        <v/>
      </c>
      <c r="N25" s="9">
        <f>SUM(N16:N20)</f>
        <v/>
      </c>
      <c r="P25" s="7" t="inlineStr">
        <is>
          <t>Balance</t>
        </is>
      </c>
      <c r="Q25" s="7" t="n"/>
      <c r="R25" s="9">
        <f>SUM(R16:R24)</f>
        <v/>
      </c>
      <c r="S25" s="9">
        <f>SUM(S16:S24)</f>
        <v/>
      </c>
    </row>
  </sheetData>
  <mergeCells count="10">
    <mergeCell ref="F14:I14"/>
    <mergeCell ref="B3:D3"/>
    <mergeCell ref="B5:D5"/>
    <mergeCell ref="K14:N14"/>
    <mergeCell ref="P14:S14"/>
    <mergeCell ref="B14:D14"/>
    <mergeCell ref="F2:I2"/>
    <mergeCell ref="P7:S8"/>
    <mergeCell ref="K7:N8"/>
    <mergeCell ref="B2:D2"/>
  </mergeCells>
  <dataValidations count="1">
    <dataValidation sqref="G4:G12 G16:G25 L16:L25 Q16:Q25" showDropDown="1" showInputMessage="0" showErrorMessage="1" allowBlank="1" type="custom">
      <formula1>OR(NOT(ISERROR(DATEVALUE(G4))), AND(ISNUMBER(G4), LEFT(CELL("format", G4))="D"))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B2:S25"/>
  <sheetViews>
    <sheetView showGridLines="0" zoomScale="95" workbookViewId="0">
      <selection activeCell="D8" sqref="D8"/>
    </sheetView>
  </sheetViews>
  <sheetFormatPr baseColWidth="8" defaultColWidth="12.6640625" defaultRowHeight="15.75" customHeight="1"/>
  <cols>
    <col width="2.6640625" customWidth="1" style="53" min="1" max="1"/>
    <col width="11.33203125" customWidth="1" style="53" min="3" max="4"/>
    <col width="2.6640625" customWidth="1" style="53" min="5" max="5"/>
    <col width="14.44140625" customWidth="1" style="53" min="6" max="6"/>
    <col width="5.109375" customWidth="1" style="53" min="7" max="7"/>
    <col width="11.33203125" customWidth="1" style="53" min="8" max="9"/>
    <col width="2.6640625" customWidth="1" style="53" min="10" max="10"/>
    <col width="14.44140625" customWidth="1" style="53" min="11" max="11"/>
    <col width="5.109375" customWidth="1" style="53" min="12" max="12"/>
    <col width="11.33203125" customWidth="1" style="53" min="13" max="14"/>
    <col width="2.6640625" customWidth="1" style="53" min="15" max="15"/>
    <col width="14.44140625" customWidth="1" style="53" min="16" max="16"/>
    <col width="5.109375" customWidth="1" style="53" min="17" max="17"/>
    <col width="11.33203125" customWidth="1" style="53" min="18" max="19"/>
  </cols>
  <sheetData>
    <row r="2" ht="15.75" customHeight="1" s="53">
      <c r="B2" s="71" t="inlineStr">
        <is>
          <t>February</t>
        </is>
      </c>
      <c r="E2" s="1" t="n"/>
      <c r="F2" s="66" t="inlineStr">
        <is>
          <t>Income</t>
        </is>
      </c>
      <c r="K2" s="25" t="n"/>
      <c r="L2" s="26" t="n"/>
      <c r="M2" s="26" t="n"/>
      <c r="N2" s="27" t="n"/>
      <c r="P2" s="25" t="n"/>
      <c r="Q2" s="26" t="n"/>
      <c r="R2" s="26" t="n"/>
      <c r="S2" s="27" t="n"/>
    </row>
    <row r="3" ht="13.2" customHeight="1" s="53">
      <c r="B3" s="61" t="inlineStr">
        <is>
          <t>Monthly Budget</t>
        </is>
      </c>
      <c r="F3" s="2" t="n"/>
      <c r="G3" s="3" t="inlineStr">
        <is>
          <t xml:space="preserve">Date </t>
        </is>
      </c>
      <c r="H3" s="4" t="inlineStr">
        <is>
          <t xml:space="preserve">Budget </t>
        </is>
      </c>
      <c r="I3" s="4" t="inlineStr">
        <is>
          <t>Actual</t>
        </is>
      </c>
      <c r="K3" s="28" t="n"/>
      <c r="N3" s="29" t="n"/>
      <c r="P3" s="28" t="n"/>
      <c r="S3" s="29" t="n"/>
    </row>
    <row r="4" ht="13.2" customHeight="1" s="53">
      <c r="B4" s="5" t="n"/>
      <c r="C4" s="5" t="n"/>
      <c r="D4" s="5" t="n"/>
      <c r="E4" s="6" t="n"/>
      <c r="F4" s="7" t="inlineStr">
        <is>
          <t xml:space="preserve">Pay Check </t>
        </is>
      </c>
      <c r="G4" s="8" t="n"/>
      <c r="H4" s="9" t="n">
        <v>65000</v>
      </c>
      <c r="I4" s="9" t="n">
        <v>6000</v>
      </c>
      <c r="K4" s="28" t="n"/>
      <c r="N4" s="29" t="n"/>
      <c r="P4" s="28" t="n"/>
      <c r="S4" s="29" t="n"/>
    </row>
    <row r="5" ht="13.2" customHeight="1" s="53">
      <c r="B5" s="62" t="inlineStr">
        <is>
          <t xml:space="preserve">Cash Flow </t>
        </is>
      </c>
      <c r="E5" s="6" t="n"/>
      <c r="F5" s="7" t="inlineStr">
        <is>
          <t>Other Income</t>
        </is>
      </c>
      <c r="G5" s="8" t="n"/>
      <c r="H5" s="9" t="n">
        <v>3000</v>
      </c>
      <c r="I5" s="9" t="n">
        <v>6250</v>
      </c>
      <c r="K5" s="28" t="n"/>
      <c r="N5" s="29" t="n"/>
      <c r="P5" s="28" t="n"/>
      <c r="S5" s="29" t="n"/>
    </row>
    <row r="6" ht="13.2" customHeight="1" s="53">
      <c r="B6" s="10" t="n"/>
      <c r="C6" s="11" t="inlineStr">
        <is>
          <t xml:space="preserve">Budget </t>
        </is>
      </c>
      <c r="D6" s="11" t="inlineStr">
        <is>
          <t>Actual</t>
        </is>
      </c>
      <c r="E6" s="6" t="n"/>
      <c r="F6" s="7" t="n"/>
      <c r="G6" s="8" t="n"/>
      <c r="H6" s="9" t="n"/>
      <c r="I6" s="9" t="n"/>
      <c r="K6" s="28" t="n"/>
      <c r="N6" s="29" t="n"/>
      <c r="P6" s="28" t="n"/>
      <c r="S6" s="29" t="n"/>
    </row>
    <row r="7" ht="13.2" customHeight="1" s="53">
      <c r="B7" s="7" t="inlineStr">
        <is>
          <t xml:space="preserve">Start Balance </t>
        </is>
      </c>
      <c r="C7" s="9" t="n">
        <v>8000</v>
      </c>
      <c r="D7" s="9" t="n">
        <v>12000</v>
      </c>
      <c r="F7" s="7" t="n"/>
      <c r="G7" s="8" t="n"/>
      <c r="H7" s="9" t="n"/>
      <c r="I7" s="9" t="n"/>
      <c r="K7" s="67">
        <f>C12</f>
        <v/>
      </c>
      <c r="N7" s="68" t="n"/>
      <c r="P7" s="67">
        <f>D12</f>
        <v/>
      </c>
      <c r="S7" s="68" t="n"/>
    </row>
    <row r="8" ht="13.2" customHeight="1" s="53">
      <c r="B8" s="7" t="inlineStr">
        <is>
          <t>Income</t>
        </is>
      </c>
      <c r="C8" s="9" t="n">
        <v>68000</v>
      </c>
      <c r="D8" s="9" t="n">
        <v>71250</v>
      </c>
      <c r="F8" s="7" t="n"/>
      <c r="G8" s="8" t="n"/>
      <c r="H8" s="9" t="n"/>
      <c r="I8" s="9" t="n"/>
      <c r="K8" s="69" t="n"/>
      <c r="N8" s="68" t="n"/>
      <c r="P8" s="69" t="n"/>
      <c r="S8" s="68" t="n"/>
    </row>
    <row r="9" ht="13.2" customHeight="1" s="53">
      <c r="B9" s="7" t="inlineStr">
        <is>
          <t>Expense</t>
        </is>
      </c>
      <c r="C9" s="9" t="n">
        <v>18500</v>
      </c>
      <c r="D9" s="9" t="n">
        <v>19350</v>
      </c>
      <c r="F9" s="7" t="n"/>
      <c r="G9" s="8" t="n"/>
      <c r="H9" s="9" t="n"/>
      <c r="I9" s="9" t="n"/>
      <c r="K9" s="28" t="n"/>
      <c r="N9" s="29" t="n"/>
      <c r="P9" s="28" t="n"/>
      <c r="S9" s="29" t="n"/>
    </row>
    <row r="10" ht="13.2" customHeight="1" s="53">
      <c r="B10" s="7" t="inlineStr">
        <is>
          <t xml:space="preserve">Debt </t>
        </is>
      </c>
      <c r="C10" s="9" t="n">
        <v>7000</v>
      </c>
      <c r="D10" s="9" t="n">
        <v>7000</v>
      </c>
      <c r="F10" s="7" t="n"/>
      <c r="G10" s="8" t="n"/>
      <c r="H10" s="9" t="n"/>
      <c r="I10" s="9" t="n"/>
      <c r="K10" s="28" t="n"/>
      <c r="N10" s="29" t="n"/>
      <c r="P10" s="28" t="n"/>
      <c r="S10" s="29" t="n"/>
    </row>
    <row r="11" ht="13.2" customHeight="1" s="53">
      <c r="B11" s="7" t="inlineStr">
        <is>
          <t>Savings</t>
        </is>
      </c>
      <c r="C11" s="9" t="n">
        <v>12000</v>
      </c>
      <c r="D11" s="9" t="n">
        <v>13500</v>
      </c>
      <c r="F11" s="7" t="n"/>
      <c r="G11" s="8" t="n"/>
      <c r="H11" s="9" t="n"/>
      <c r="I11" s="9" t="n"/>
      <c r="K11" s="28" t="n"/>
      <c r="N11" s="29" t="n"/>
      <c r="P11" s="28" t="n"/>
      <c r="S11" s="29" t="n"/>
    </row>
    <row r="12" ht="13.2" customHeight="1" s="53">
      <c r="B12" s="7" t="inlineStr">
        <is>
          <t>Balance</t>
        </is>
      </c>
      <c r="C12" s="9">
        <f>C7+C8-C9-C10-C11</f>
        <v/>
      </c>
      <c r="D12" s="9">
        <f>D7+D8-D9-D10-D11</f>
        <v/>
      </c>
      <c r="F12" s="7" t="inlineStr">
        <is>
          <t>Balance</t>
        </is>
      </c>
      <c r="G12" s="8" t="n"/>
      <c r="H12" s="9">
        <f>SUM(H4:H11)</f>
        <v/>
      </c>
      <c r="I12" s="9">
        <f>SUM(I4:I11)</f>
        <v/>
      </c>
      <c r="K12" s="30" t="n"/>
      <c r="L12" s="31" t="n"/>
      <c r="M12" s="31" t="n"/>
      <c r="N12" s="32" t="n"/>
      <c r="P12" s="30" t="n"/>
      <c r="Q12" s="31" t="n"/>
      <c r="R12" s="31" t="n"/>
      <c r="S12" s="32" t="n"/>
    </row>
    <row r="13" ht="13.2" customHeight="1" s="53">
      <c r="B13" s="12" t="inlineStr">
        <is>
          <t>Spent</t>
        </is>
      </c>
      <c r="C13" s="13">
        <f>SUM(C9:C12)</f>
        <v/>
      </c>
      <c r="D13" s="13">
        <f>SUM(D9:D12)</f>
        <v/>
      </c>
    </row>
    <row r="14" ht="13.2" customHeight="1" s="53">
      <c r="B14" s="65" t="inlineStr">
        <is>
          <t>Savings &amp; Investments</t>
        </is>
      </c>
      <c r="E14" s="5" t="n"/>
      <c r="F14" s="60" t="inlineStr">
        <is>
          <t>Expenses</t>
        </is>
      </c>
      <c r="K14" s="63" t="inlineStr">
        <is>
          <t xml:space="preserve">Bills </t>
        </is>
      </c>
      <c r="P14" s="64" t="inlineStr">
        <is>
          <t xml:space="preserve">Debts </t>
        </is>
      </c>
    </row>
    <row r="15" ht="13.2" customHeight="1" s="53">
      <c r="B15" s="14" t="n"/>
      <c r="C15" s="15" t="inlineStr">
        <is>
          <t xml:space="preserve">Budget </t>
        </is>
      </c>
      <c r="D15" s="15" t="inlineStr">
        <is>
          <t>Actual</t>
        </is>
      </c>
      <c r="F15" s="16" t="n"/>
      <c r="G15" s="17" t="inlineStr">
        <is>
          <t>Date</t>
        </is>
      </c>
      <c r="H15" s="17" t="inlineStr">
        <is>
          <t>Budget</t>
        </is>
      </c>
      <c r="I15" s="17" t="inlineStr">
        <is>
          <t>Actual</t>
        </is>
      </c>
      <c r="K15" s="18" t="n"/>
      <c r="L15" s="19" t="inlineStr">
        <is>
          <t xml:space="preserve">Date </t>
        </is>
      </c>
      <c r="M15" s="19" t="inlineStr">
        <is>
          <t xml:space="preserve">Budget </t>
        </is>
      </c>
      <c r="N15" s="19" t="inlineStr">
        <is>
          <t xml:space="preserve">Actual </t>
        </is>
      </c>
      <c r="P15" s="20" t="n"/>
      <c r="Q15" s="21" t="inlineStr">
        <is>
          <t xml:space="preserve">Date </t>
        </is>
      </c>
      <c r="R15" s="21" t="inlineStr">
        <is>
          <t xml:space="preserve">Budget </t>
        </is>
      </c>
      <c r="S15" s="21" t="inlineStr">
        <is>
          <t xml:space="preserve">Actual </t>
        </is>
      </c>
    </row>
    <row r="16" ht="13.2" customHeight="1" s="53">
      <c r="B16" s="7" t="inlineStr">
        <is>
          <t>Emergency</t>
        </is>
      </c>
      <c r="C16" s="22" t="n">
        <v>5000</v>
      </c>
      <c r="D16" s="22" t="n">
        <v>5000</v>
      </c>
      <c r="E16" s="6" t="n"/>
      <c r="F16" s="7" t="inlineStr">
        <is>
          <t xml:space="preserve">Bus </t>
        </is>
      </c>
      <c r="G16" s="23" t="n"/>
      <c r="H16" s="9" t="n">
        <v>1500</v>
      </c>
      <c r="I16" s="9" t="n">
        <v>1350</v>
      </c>
      <c r="K16" s="7" t="inlineStr">
        <is>
          <t xml:space="preserve">Rent </t>
        </is>
      </c>
      <c r="L16" s="7" t="n"/>
      <c r="M16" s="9" t="n">
        <v>15000</v>
      </c>
      <c r="N16" s="9" t="n">
        <v>15000</v>
      </c>
      <c r="P16" s="7" t="inlineStr">
        <is>
          <t xml:space="preserve">Visa Card </t>
        </is>
      </c>
      <c r="Q16" s="7" t="n"/>
      <c r="R16" s="9" t="n">
        <v>2500</v>
      </c>
      <c r="S16" s="9" t="n">
        <v>2500</v>
      </c>
    </row>
    <row r="17" ht="13.2" customHeight="1" s="53">
      <c r="B17" s="7" t="inlineStr">
        <is>
          <t xml:space="preserve">Vacation </t>
        </is>
      </c>
      <c r="C17" s="22" t="n">
        <v>2000</v>
      </c>
      <c r="D17" s="22" t="n">
        <v>1500</v>
      </c>
      <c r="E17" s="6" t="n"/>
      <c r="F17" s="7" t="inlineStr">
        <is>
          <t>Uber/Rapido</t>
        </is>
      </c>
      <c r="G17" s="7" t="n"/>
      <c r="H17" s="9" t="n">
        <v>2500</v>
      </c>
      <c r="I17" s="9" t="n">
        <v>2900</v>
      </c>
      <c r="K17" s="7" t="inlineStr">
        <is>
          <t>Electricity</t>
        </is>
      </c>
      <c r="L17" s="7" t="n"/>
      <c r="M17" s="9" t="n">
        <v>2000</v>
      </c>
      <c r="N17" s="9" t="n">
        <v>2250</v>
      </c>
      <c r="P17" s="7" t="inlineStr">
        <is>
          <t>Mastercaard</t>
        </is>
      </c>
      <c r="Q17" s="7" t="n"/>
      <c r="R17" s="9" t="n">
        <v>2000</v>
      </c>
      <c r="S17" s="9" t="n">
        <v>2000</v>
      </c>
    </row>
    <row r="18" ht="13.2" customHeight="1" s="53">
      <c r="B18" s="7" t="inlineStr">
        <is>
          <t xml:space="preserve">Other </t>
        </is>
      </c>
      <c r="C18" s="22" t="n">
        <v>1000</v>
      </c>
      <c r="D18" s="22" t="n">
        <v>800</v>
      </c>
      <c r="E18" s="6" t="n"/>
      <c r="F18" s="7" t="inlineStr">
        <is>
          <t>Dining Out</t>
        </is>
      </c>
      <c r="G18" s="7" t="n"/>
      <c r="H18" s="9" t="n">
        <v>3500</v>
      </c>
      <c r="I18" s="9" t="n">
        <v>4100</v>
      </c>
      <c r="K18" s="7" t="inlineStr">
        <is>
          <t>Cell Phone</t>
        </is>
      </c>
      <c r="L18" s="7" t="n"/>
      <c r="M18" s="9" t="n">
        <v>800</v>
      </c>
      <c r="N18" s="9" t="n">
        <v>799</v>
      </c>
      <c r="P18" s="7" t="inlineStr">
        <is>
          <t>Personal Loan</t>
        </is>
      </c>
      <c r="Q18" s="7" t="n"/>
      <c r="R18" s="9" t="n">
        <v>2500</v>
      </c>
      <c r="S18" s="9" t="n">
        <v>2500</v>
      </c>
    </row>
    <row r="19" ht="13.2" customHeight="1" s="53">
      <c r="B19" s="7" t="inlineStr">
        <is>
          <t>Investment</t>
        </is>
      </c>
      <c r="C19" s="22" t="n">
        <v>4000</v>
      </c>
      <c r="D19" s="22" t="n">
        <v>6200</v>
      </c>
      <c r="E19" s="6" t="n"/>
      <c r="F19" s="7" t="inlineStr">
        <is>
          <t>Other Expenses</t>
        </is>
      </c>
      <c r="G19" s="24" t="n"/>
      <c r="H19" s="9" t="n">
        <v>2000</v>
      </c>
      <c r="I19" s="9" t="n">
        <v>1700</v>
      </c>
      <c r="K19" s="7" t="inlineStr">
        <is>
          <t xml:space="preserve">Internet </t>
        </is>
      </c>
      <c r="L19" s="7" t="n"/>
      <c r="M19" s="9" t="n">
        <v>1000</v>
      </c>
      <c r="N19" s="9" t="n">
        <v>999</v>
      </c>
      <c r="Q19" s="7" t="n"/>
      <c r="R19" s="9" t="n"/>
      <c r="S19" s="9" t="n"/>
    </row>
    <row r="20" ht="13.2" customHeight="1" s="53">
      <c r="C20" s="9" t="n"/>
      <c r="D20" s="9" t="n"/>
      <c r="E20" s="6" t="n"/>
      <c r="F20" s="7" t="inlineStr">
        <is>
          <t>Food Outside</t>
        </is>
      </c>
      <c r="G20" s="7" t="n"/>
      <c r="H20" s="9" t="n">
        <v>4000</v>
      </c>
      <c r="I20" s="9" t="n">
        <v>4350</v>
      </c>
      <c r="K20" s="7" t="inlineStr">
        <is>
          <t>Bus Pass</t>
        </is>
      </c>
      <c r="L20" s="7" t="n"/>
      <c r="M20" s="9" t="n">
        <v>1200</v>
      </c>
      <c r="N20" s="9" t="n">
        <v>1200</v>
      </c>
      <c r="P20" s="7" t="n"/>
      <c r="Q20" s="7" t="n"/>
      <c r="R20" s="9" t="n"/>
      <c r="S20" s="9" t="n"/>
    </row>
    <row r="21" ht="13.2" customHeight="1" s="53">
      <c r="B21" s="7" t="n"/>
      <c r="C21" s="9" t="n"/>
      <c r="D21" s="9" t="n"/>
      <c r="F21" s="7" t="inlineStr">
        <is>
          <t>Food Order</t>
        </is>
      </c>
      <c r="G21" s="23" t="n"/>
      <c r="H21" s="9" t="n">
        <v>5000</v>
      </c>
      <c r="I21" s="9" t="n">
        <v>4950</v>
      </c>
      <c r="L21" s="7" t="n"/>
      <c r="M21" s="9" t="n"/>
      <c r="N21" s="9" t="n"/>
      <c r="P21" s="7" t="n"/>
      <c r="Q21" s="7" t="n"/>
      <c r="R21" s="9" t="n"/>
      <c r="S21" s="9" t="n"/>
    </row>
    <row r="22" ht="13.2" customHeight="1" s="53">
      <c r="B22" s="7" t="n"/>
      <c r="C22" s="9" t="n"/>
      <c r="D22" s="9" t="n"/>
      <c r="G22" s="7" t="n"/>
      <c r="H22" s="9" t="n"/>
      <c r="I22" s="9" t="n"/>
      <c r="K22" s="7" t="n"/>
      <c r="L22" s="7" t="n"/>
      <c r="M22" s="9" t="n"/>
      <c r="N22" s="9" t="n"/>
      <c r="P22" s="7" t="n"/>
      <c r="Q22" s="7" t="n"/>
      <c r="R22" s="9" t="n"/>
      <c r="S22" s="9" t="n"/>
    </row>
    <row r="23" ht="13.2" customHeight="1" s="53">
      <c r="B23" s="7" t="n"/>
      <c r="C23" s="9" t="n"/>
      <c r="D23" s="9" t="n"/>
      <c r="F23" s="7" t="n"/>
      <c r="G23" s="7" t="n"/>
      <c r="H23" s="9" t="n"/>
      <c r="I23" s="9" t="n"/>
      <c r="K23" s="7" t="n"/>
      <c r="L23" s="7" t="n"/>
      <c r="M23" s="9" t="n"/>
      <c r="N23" s="9" t="n"/>
      <c r="P23" s="7" t="n"/>
      <c r="Q23" s="7" t="n"/>
      <c r="R23" s="9" t="n"/>
      <c r="S23" s="9" t="n"/>
    </row>
    <row r="24" ht="13.2" customHeight="1" s="53">
      <c r="B24" s="7" t="n"/>
      <c r="C24" s="9" t="n"/>
      <c r="D24" s="9" t="n"/>
      <c r="F24" s="7" t="n"/>
      <c r="G24" s="7" t="n"/>
      <c r="H24" s="9" t="n"/>
      <c r="I24" s="9" t="n"/>
      <c r="K24" s="7" t="n"/>
      <c r="L24" s="7" t="n"/>
      <c r="M24" s="9" t="n"/>
      <c r="N24" s="9" t="n"/>
      <c r="P24" s="7" t="n"/>
      <c r="Q24" s="7" t="n"/>
      <c r="R24" s="9" t="n"/>
      <c r="S24" s="9" t="n"/>
    </row>
    <row r="25" ht="13.2" customHeight="1" s="53">
      <c r="B25" s="7" t="inlineStr">
        <is>
          <t>Balance</t>
        </is>
      </c>
      <c r="C25" s="9">
        <f>SUM(C16:C24)</f>
        <v/>
      </c>
      <c r="D25" s="9">
        <f>SUM(D16:D24)</f>
        <v/>
      </c>
      <c r="F25" s="7" t="inlineStr">
        <is>
          <t>Balance</t>
        </is>
      </c>
      <c r="G25" s="7" t="n"/>
      <c r="H25" s="9">
        <f>SUM(H16:H24)</f>
        <v/>
      </c>
      <c r="I25" s="9">
        <f>SUM(I16:I24)</f>
        <v/>
      </c>
      <c r="K25" s="7" t="inlineStr">
        <is>
          <t>Balance</t>
        </is>
      </c>
      <c r="L25" s="7" t="n"/>
      <c r="M25" s="9">
        <f>SUM(M16:M20)</f>
        <v/>
      </c>
      <c r="N25" s="9">
        <f>SUM(N16:N20)</f>
        <v/>
      </c>
      <c r="P25" s="7" t="inlineStr">
        <is>
          <t>Balance</t>
        </is>
      </c>
      <c r="Q25" s="7" t="n"/>
      <c r="R25" s="9">
        <f>SUM(R16:R24)</f>
        <v/>
      </c>
      <c r="S25" s="9">
        <f>SUM(S16:S24)</f>
        <v/>
      </c>
    </row>
  </sheetData>
  <mergeCells count="10">
    <mergeCell ref="F14:I14"/>
    <mergeCell ref="B3:D3"/>
    <mergeCell ref="B5:D5"/>
    <mergeCell ref="B14:D14"/>
    <mergeCell ref="P14:S14"/>
    <mergeCell ref="K14:N14"/>
    <mergeCell ref="F2:I2"/>
    <mergeCell ref="P7:S8"/>
    <mergeCell ref="K7:N8"/>
    <mergeCell ref="B2:D2"/>
  </mergeCells>
  <dataValidations count="1">
    <dataValidation sqref="G4:G12 G16:G25 L16:L25 Q16:Q25" showDropDown="1" showInputMessage="0" showErrorMessage="1" allowBlank="1" type="custom">
      <formula1>OR(NOT(ISERROR(DATEVALUE(G4))), AND(ISNUMBER(G4), LEFT(CELL("format", G4))="D"))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B2:S25"/>
  <sheetViews>
    <sheetView showGridLines="0" zoomScale="95" workbookViewId="0">
      <selection activeCell="D8" sqref="D8"/>
    </sheetView>
  </sheetViews>
  <sheetFormatPr baseColWidth="8" defaultColWidth="12.6640625" defaultRowHeight="15.75" customHeight="1"/>
  <cols>
    <col width="2.6640625" customWidth="1" style="53" min="1" max="1"/>
    <col width="11.33203125" customWidth="1" style="53" min="3" max="4"/>
    <col width="2.6640625" customWidth="1" style="53" min="5" max="5"/>
    <col width="14.44140625" customWidth="1" style="53" min="6" max="6"/>
    <col width="5.109375" customWidth="1" style="53" min="7" max="7"/>
    <col width="11.33203125" customWidth="1" style="53" min="8" max="9"/>
    <col width="2.6640625" customWidth="1" style="53" min="10" max="10"/>
    <col width="14.44140625" customWidth="1" style="53" min="11" max="11"/>
    <col width="5.109375" customWidth="1" style="53" min="12" max="12"/>
    <col width="11.33203125" customWidth="1" style="53" min="13" max="14"/>
    <col width="2.6640625" customWidth="1" style="53" min="15" max="15"/>
    <col width="14.44140625" customWidth="1" style="53" min="16" max="16"/>
    <col width="5.109375" customWidth="1" style="53" min="17" max="17"/>
    <col width="11.33203125" customWidth="1" style="53" min="18" max="19"/>
  </cols>
  <sheetData>
    <row r="2" ht="15.75" customHeight="1" s="53">
      <c r="B2" s="71" t="inlineStr">
        <is>
          <t>March</t>
        </is>
      </c>
      <c r="E2" s="1" t="n"/>
      <c r="F2" s="66" t="inlineStr">
        <is>
          <t>Income</t>
        </is>
      </c>
      <c r="K2" s="25" t="n"/>
      <c r="L2" s="26" t="n"/>
      <c r="M2" s="26" t="n"/>
      <c r="N2" s="27" t="n"/>
      <c r="P2" s="25" t="n"/>
      <c r="Q2" s="26" t="n"/>
      <c r="R2" s="26" t="n"/>
      <c r="S2" s="27" t="n"/>
    </row>
    <row r="3" ht="13.2" customHeight="1" s="53">
      <c r="B3" s="61" t="inlineStr">
        <is>
          <t>Monthly Budget</t>
        </is>
      </c>
      <c r="F3" s="2" t="n"/>
      <c r="G3" s="3" t="inlineStr">
        <is>
          <t xml:space="preserve">Date </t>
        </is>
      </c>
      <c r="H3" s="4" t="inlineStr">
        <is>
          <t xml:space="preserve">Budget </t>
        </is>
      </c>
      <c r="I3" s="4" t="inlineStr">
        <is>
          <t>Actual</t>
        </is>
      </c>
      <c r="K3" s="28" t="n"/>
      <c r="N3" s="29" t="n"/>
      <c r="P3" s="28" t="n"/>
      <c r="S3" s="29" t="n"/>
    </row>
    <row r="4" ht="13.2" customHeight="1" s="53">
      <c r="B4" s="5" t="n"/>
      <c r="C4" s="5" t="n"/>
      <c r="D4" s="5" t="n"/>
      <c r="E4" s="6" t="n"/>
      <c r="F4" s="7" t="inlineStr">
        <is>
          <t xml:space="preserve">Pay Check </t>
        </is>
      </c>
      <c r="G4" s="8" t="n"/>
      <c r="H4" s="9" t="n">
        <v>65000</v>
      </c>
      <c r="I4" s="9" t="n">
        <v>65000</v>
      </c>
      <c r="K4" s="28" t="n"/>
      <c r="N4" s="29" t="n"/>
      <c r="P4" s="28" t="n"/>
      <c r="S4" s="29" t="n"/>
    </row>
    <row r="5" ht="13.2" customHeight="1" s="53">
      <c r="B5" s="62" t="inlineStr">
        <is>
          <t xml:space="preserve">Cash Flow </t>
        </is>
      </c>
      <c r="E5" s="6" t="n"/>
      <c r="F5" s="7" t="inlineStr">
        <is>
          <t>Other Income</t>
        </is>
      </c>
      <c r="G5" s="8" t="n"/>
      <c r="H5" s="9" t="n">
        <v>3000</v>
      </c>
      <c r="I5" s="9" t="n">
        <v>6250</v>
      </c>
      <c r="K5" s="28" t="n"/>
      <c r="N5" s="29" t="n"/>
      <c r="P5" s="28" t="n"/>
      <c r="S5" s="29" t="n"/>
    </row>
    <row r="6" ht="13.2" customHeight="1" s="53">
      <c r="B6" s="10" t="n"/>
      <c r="C6" s="11" t="inlineStr">
        <is>
          <t xml:space="preserve">Budget </t>
        </is>
      </c>
      <c r="D6" s="11" t="inlineStr">
        <is>
          <t>Actual</t>
        </is>
      </c>
      <c r="E6" s="6" t="n"/>
      <c r="F6" s="7" t="n"/>
      <c r="G6" s="8" t="n"/>
      <c r="H6" s="9" t="n"/>
      <c r="I6" s="9" t="n"/>
      <c r="K6" s="28" t="n"/>
      <c r="N6" s="29" t="n"/>
      <c r="P6" s="28" t="n"/>
      <c r="S6" s="29" t="n"/>
    </row>
    <row r="7" ht="13.2" customHeight="1" s="53">
      <c r="B7" s="7" t="inlineStr">
        <is>
          <t xml:space="preserve">Start Balance </t>
        </is>
      </c>
      <c r="C7" s="9" t="n">
        <v>8000</v>
      </c>
      <c r="D7" s="9" t="n">
        <v>15000</v>
      </c>
      <c r="F7" s="7" t="n"/>
      <c r="G7" s="8" t="n"/>
      <c r="H7" s="9" t="n"/>
      <c r="I7" s="9" t="n"/>
      <c r="K7" s="67">
        <f>C12</f>
        <v/>
      </c>
      <c r="N7" s="68" t="n"/>
      <c r="P7" s="67">
        <f>D12</f>
        <v/>
      </c>
      <c r="S7" s="68" t="n"/>
    </row>
    <row r="8" ht="13.2" customHeight="1" s="53">
      <c r="B8" s="7" t="inlineStr">
        <is>
          <t>Income</t>
        </is>
      </c>
      <c r="C8" s="9" t="n">
        <v>68000</v>
      </c>
      <c r="D8" s="9" t="n">
        <v>71250</v>
      </c>
      <c r="F8" s="7" t="n"/>
      <c r="G8" s="8" t="n"/>
      <c r="H8" s="9" t="n"/>
      <c r="I8" s="9" t="n"/>
      <c r="K8" s="69" t="n"/>
      <c r="N8" s="68" t="n"/>
      <c r="P8" s="69" t="n"/>
      <c r="S8" s="68" t="n"/>
    </row>
    <row r="9" ht="13.2" customHeight="1" s="53">
      <c r="B9" s="7" t="inlineStr">
        <is>
          <t>Expense</t>
        </is>
      </c>
      <c r="C9" s="9" t="n">
        <v>18500</v>
      </c>
      <c r="D9" s="9" t="n">
        <v>19350</v>
      </c>
      <c r="F9" s="7" t="n"/>
      <c r="G9" s="8" t="n"/>
      <c r="H9" s="9" t="n"/>
      <c r="I9" s="9" t="n"/>
      <c r="K9" s="28" t="n"/>
      <c r="N9" s="29" t="n"/>
      <c r="P9" s="28" t="n"/>
      <c r="S9" s="29" t="n"/>
    </row>
    <row r="10" ht="13.2" customHeight="1" s="53">
      <c r="B10" s="7" t="inlineStr">
        <is>
          <t xml:space="preserve">Debt </t>
        </is>
      </c>
      <c r="C10" s="9" t="n">
        <v>7000</v>
      </c>
      <c r="D10" s="9" t="n">
        <v>7000</v>
      </c>
      <c r="F10" s="7" t="n"/>
      <c r="G10" s="8" t="n"/>
      <c r="H10" s="9" t="n"/>
      <c r="I10" s="9" t="n"/>
      <c r="K10" s="28" t="n"/>
      <c r="N10" s="29" t="n"/>
      <c r="P10" s="28" t="n"/>
      <c r="S10" s="29" t="n"/>
    </row>
    <row r="11" ht="13.2" customHeight="1" s="53">
      <c r="B11" s="7" t="inlineStr">
        <is>
          <t>Savings</t>
        </is>
      </c>
      <c r="C11" s="9" t="n">
        <v>12000</v>
      </c>
      <c r="D11" s="9" t="n">
        <v>13500</v>
      </c>
      <c r="F11" s="7" t="n"/>
      <c r="G11" s="8" t="n"/>
      <c r="H11" s="9" t="n"/>
      <c r="I11" s="9" t="n"/>
      <c r="K11" s="28" t="n"/>
      <c r="N11" s="29" t="n"/>
      <c r="P11" s="28" t="n"/>
      <c r="S11" s="29" t="n"/>
    </row>
    <row r="12" ht="13.2" customHeight="1" s="53">
      <c r="B12" s="7" t="inlineStr">
        <is>
          <t>Balance</t>
        </is>
      </c>
      <c r="C12" s="9">
        <f>C7+C8-C9-C10-C11</f>
        <v/>
      </c>
      <c r="D12" s="9">
        <f>D7+D8-D9-D10-D11</f>
        <v/>
      </c>
      <c r="F12" s="7" t="inlineStr">
        <is>
          <t>Balance</t>
        </is>
      </c>
      <c r="G12" s="8" t="n"/>
      <c r="H12" s="9">
        <f>SUM(H4:H11)</f>
        <v/>
      </c>
      <c r="I12" s="9">
        <f>SUM(I4:I11)</f>
        <v/>
      </c>
      <c r="K12" s="30" t="n"/>
      <c r="L12" s="31" t="n"/>
      <c r="M12" s="31" t="n"/>
      <c r="N12" s="32" t="n"/>
      <c r="P12" s="30" t="n"/>
      <c r="Q12" s="31" t="n"/>
      <c r="R12" s="31" t="n"/>
      <c r="S12" s="32" t="n"/>
    </row>
    <row r="13" ht="13.2" customHeight="1" s="53">
      <c r="B13" s="12" t="inlineStr">
        <is>
          <t>Spent</t>
        </is>
      </c>
      <c r="C13" s="13">
        <f>SUM(C9:C12)</f>
        <v/>
      </c>
      <c r="D13" s="13">
        <f>SUM(D9:D12)</f>
        <v/>
      </c>
    </row>
    <row r="14" ht="13.2" customHeight="1" s="53">
      <c r="B14" s="65" t="inlineStr">
        <is>
          <t>Savings &amp; Investments</t>
        </is>
      </c>
      <c r="E14" s="5" t="n"/>
      <c r="F14" s="60" t="inlineStr">
        <is>
          <t>Expenses</t>
        </is>
      </c>
      <c r="K14" s="63" t="inlineStr">
        <is>
          <t xml:space="preserve">Bills </t>
        </is>
      </c>
      <c r="P14" s="64" t="inlineStr">
        <is>
          <t xml:space="preserve">Debts </t>
        </is>
      </c>
    </row>
    <row r="15" ht="13.2" customHeight="1" s="53">
      <c r="B15" s="14" t="n"/>
      <c r="C15" s="15" t="inlineStr">
        <is>
          <t xml:space="preserve">Budget </t>
        </is>
      </c>
      <c r="D15" s="15" t="inlineStr">
        <is>
          <t>Actual</t>
        </is>
      </c>
      <c r="F15" s="16" t="n"/>
      <c r="G15" s="17" t="inlineStr">
        <is>
          <t>Date</t>
        </is>
      </c>
      <c r="H15" s="17" t="inlineStr">
        <is>
          <t>Budget</t>
        </is>
      </c>
      <c r="I15" s="17" t="inlineStr">
        <is>
          <t>Actual</t>
        </is>
      </c>
      <c r="K15" s="18" t="n"/>
      <c r="L15" s="19" t="inlineStr">
        <is>
          <t xml:space="preserve">Date </t>
        </is>
      </c>
      <c r="M15" s="19" t="inlineStr">
        <is>
          <t xml:space="preserve">Budget </t>
        </is>
      </c>
      <c r="N15" s="19" t="inlineStr">
        <is>
          <t xml:space="preserve">Actual </t>
        </is>
      </c>
      <c r="P15" s="20" t="n"/>
      <c r="Q15" s="21" t="inlineStr">
        <is>
          <t xml:space="preserve">Date </t>
        </is>
      </c>
      <c r="R15" s="21" t="inlineStr">
        <is>
          <t xml:space="preserve">Budget </t>
        </is>
      </c>
      <c r="S15" s="21" t="inlineStr">
        <is>
          <t xml:space="preserve">Actual </t>
        </is>
      </c>
    </row>
    <row r="16" ht="13.2" customHeight="1" s="53">
      <c r="B16" s="7" t="inlineStr">
        <is>
          <t>Emergency</t>
        </is>
      </c>
      <c r="C16" s="22" t="n">
        <v>5000</v>
      </c>
      <c r="D16" s="22" t="n">
        <v>5000</v>
      </c>
      <c r="E16" s="6" t="n"/>
      <c r="F16" s="7" t="inlineStr">
        <is>
          <t xml:space="preserve">Bus </t>
        </is>
      </c>
      <c r="G16" s="23" t="n"/>
      <c r="H16" s="9" t="n">
        <v>1500</v>
      </c>
      <c r="I16" s="9" t="n">
        <v>1350</v>
      </c>
      <c r="K16" s="7" t="inlineStr">
        <is>
          <t xml:space="preserve">Rent </t>
        </is>
      </c>
      <c r="L16" s="7" t="n"/>
      <c r="M16" s="9" t="n">
        <v>15000</v>
      </c>
      <c r="N16" s="9" t="n">
        <v>15000</v>
      </c>
      <c r="P16" s="7" t="inlineStr">
        <is>
          <t xml:space="preserve">Visa Card </t>
        </is>
      </c>
      <c r="Q16" s="7" t="n"/>
      <c r="R16" s="9" t="n">
        <v>2500</v>
      </c>
      <c r="S16" s="9" t="n">
        <v>2500</v>
      </c>
    </row>
    <row r="17" ht="13.2" customHeight="1" s="53">
      <c r="B17" s="7" t="inlineStr">
        <is>
          <t xml:space="preserve">Vacation </t>
        </is>
      </c>
      <c r="C17" s="22" t="n">
        <v>2000</v>
      </c>
      <c r="D17" s="22" t="n">
        <v>1500</v>
      </c>
      <c r="E17" s="6" t="n"/>
      <c r="F17" s="7" t="inlineStr">
        <is>
          <t>Uber/Rapido</t>
        </is>
      </c>
      <c r="G17" s="7" t="n"/>
      <c r="H17" s="9" t="n">
        <v>2500</v>
      </c>
      <c r="I17" s="9" t="n">
        <v>2900</v>
      </c>
      <c r="K17" s="7" t="inlineStr">
        <is>
          <t>Electricity</t>
        </is>
      </c>
      <c r="L17" s="7" t="n"/>
      <c r="M17" s="9" t="n">
        <v>2000</v>
      </c>
      <c r="N17" s="9" t="n">
        <v>2250</v>
      </c>
      <c r="P17" s="7" t="inlineStr">
        <is>
          <t>Mastercaard</t>
        </is>
      </c>
      <c r="Q17" s="7" t="n"/>
      <c r="R17" s="9" t="n">
        <v>2000</v>
      </c>
      <c r="S17" s="9" t="n">
        <v>2000</v>
      </c>
    </row>
    <row r="18" ht="13.2" customHeight="1" s="53">
      <c r="B18" s="7" t="inlineStr">
        <is>
          <t xml:space="preserve">Other </t>
        </is>
      </c>
      <c r="C18" s="22" t="n">
        <v>1000</v>
      </c>
      <c r="D18" s="22" t="n">
        <v>800</v>
      </c>
      <c r="E18" s="6" t="n"/>
      <c r="F18" s="7" t="inlineStr">
        <is>
          <t>Dining Out</t>
        </is>
      </c>
      <c r="G18" s="7" t="n"/>
      <c r="H18" s="9" t="n">
        <v>3500</v>
      </c>
      <c r="I18" s="9" t="n">
        <v>4100</v>
      </c>
      <c r="K18" s="7" t="inlineStr">
        <is>
          <t>Cell Phone</t>
        </is>
      </c>
      <c r="L18" s="7" t="n"/>
      <c r="M18" s="9" t="n">
        <v>800</v>
      </c>
      <c r="N18" s="9" t="n">
        <v>799</v>
      </c>
      <c r="P18" s="7" t="inlineStr">
        <is>
          <t>Personal Loan</t>
        </is>
      </c>
      <c r="Q18" s="7" t="n"/>
      <c r="R18" s="9" t="n">
        <v>2500</v>
      </c>
      <c r="S18" s="9" t="n">
        <v>2500</v>
      </c>
    </row>
    <row r="19" ht="13.2" customHeight="1" s="53">
      <c r="B19" s="7" t="inlineStr">
        <is>
          <t>Investment</t>
        </is>
      </c>
      <c r="C19" s="22" t="n">
        <v>4000</v>
      </c>
      <c r="D19" s="22" t="n">
        <v>6200</v>
      </c>
      <c r="E19" s="6" t="n"/>
      <c r="F19" s="7" t="inlineStr">
        <is>
          <t>Other Expenses</t>
        </is>
      </c>
      <c r="G19" s="24" t="n"/>
      <c r="H19" s="9" t="n">
        <v>2000</v>
      </c>
      <c r="I19" s="9" t="n">
        <v>1700</v>
      </c>
      <c r="K19" s="7" t="inlineStr">
        <is>
          <t xml:space="preserve">Internet </t>
        </is>
      </c>
      <c r="L19" s="7" t="n"/>
      <c r="M19" s="9" t="n">
        <v>1000</v>
      </c>
      <c r="N19" s="9" t="n">
        <v>999</v>
      </c>
      <c r="Q19" s="7" t="n"/>
      <c r="R19" s="9" t="n"/>
      <c r="S19" s="9" t="n"/>
    </row>
    <row r="20" ht="13.2" customHeight="1" s="53">
      <c r="C20" s="9" t="n"/>
      <c r="D20" s="9" t="n"/>
      <c r="E20" s="6" t="n"/>
      <c r="F20" s="7" t="inlineStr">
        <is>
          <t>Food Outside</t>
        </is>
      </c>
      <c r="G20" s="7" t="n"/>
      <c r="H20" s="9" t="n">
        <v>4000</v>
      </c>
      <c r="I20" s="9" t="n">
        <v>4350</v>
      </c>
      <c r="K20" s="7" t="inlineStr">
        <is>
          <t>Bus Pass</t>
        </is>
      </c>
      <c r="L20" s="7" t="n"/>
      <c r="M20" s="9" t="n">
        <v>1200</v>
      </c>
      <c r="N20" s="9" t="n">
        <v>1200</v>
      </c>
      <c r="P20" s="7" t="n"/>
      <c r="Q20" s="7" t="n"/>
      <c r="R20" s="9" t="n"/>
      <c r="S20" s="9" t="n"/>
    </row>
    <row r="21" ht="13.2" customHeight="1" s="53">
      <c r="B21" s="7" t="n"/>
      <c r="C21" s="9" t="n"/>
      <c r="D21" s="9" t="n"/>
      <c r="F21" s="7" t="inlineStr">
        <is>
          <t>Food Order</t>
        </is>
      </c>
      <c r="G21" s="23" t="n"/>
      <c r="H21" s="9" t="n">
        <v>5000</v>
      </c>
      <c r="I21" s="9" t="n">
        <v>4950</v>
      </c>
      <c r="L21" s="7" t="n"/>
      <c r="M21" s="9" t="n"/>
      <c r="N21" s="9" t="n"/>
      <c r="P21" s="7" t="n"/>
      <c r="Q21" s="7" t="n"/>
      <c r="R21" s="9" t="n"/>
      <c r="S21" s="9" t="n"/>
    </row>
    <row r="22" ht="13.2" customHeight="1" s="53">
      <c r="B22" s="7" t="n"/>
      <c r="C22" s="9" t="n"/>
      <c r="D22" s="9" t="n"/>
      <c r="G22" s="7" t="n"/>
      <c r="H22" s="9" t="n"/>
      <c r="I22" s="9" t="n"/>
      <c r="K22" s="7" t="n"/>
      <c r="L22" s="7" t="n"/>
      <c r="M22" s="9" t="n"/>
      <c r="N22" s="9" t="n"/>
      <c r="P22" s="7" t="n"/>
      <c r="Q22" s="7" t="n"/>
      <c r="R22" s="9" t="n"/>
      <c r="S22" s="9" t="n"/>
    </row>
    <row r="23" ht="13.2" customHeight="1" s="53">
      <c r="B23" s="7" t="n"/>
      <c r="C23" s="9" t="n"/>
      <c r="D23" s="9" t="n"/>
      <c r="F23" s="7" t="n"/>
      <c r="G23" s="7" t="n"/>
      <c r="H23" s="9" t="n"/>
      <c r="I23" s="9" t="n"/>
      <c r="K23" s="7" t="n"/>
      <c r="L23" s="7" t="n"/>
      <c r="M23" s="9" t="n"/>
      <c r="N23" s="9" t="n"/>
      <c r="P23" s="7" t="n"/>
      <c r="Q23" s="7" t="n"/>
      <c r="R23" s="9" t="n"/>
      <c r="S23" s="9" t="n"/>
    </row>
    <row r="24" ht="13.2" customHeight="1" s="53">
      <c r="B24" s="7" t="n"/>
      <c r="C24" s="9" t="n"/>
      <c r="D24" s="9" t="n"/>
      <c r="F24" s="7" t="n"/>
      <c r="G24" s="7" t="n"/>
      <c r="H24" s="9" t="n"/>
      <c r="I24" s="9" t="n"/>
      <c r="K24" s="7" t="n"/>
      <c r="L24" s="7" t="n"/>
      <c r="M24" s="9" t="n"/>
      <c r="N24" s="9" t="n"/>
      <c r="P24" s="7" t="n"/>
      <c r="Q24" s="7" t="n"/>
      <c r="R24" s="9" t="n"/>
      <c r="S24" s="9" t="n"/>
    </row>
    <row r="25" ht="13.2" customHeight="1" s="53">
      <c r="B25" s="7" t="inlineStr">
        <is>
          <t>Balance</t>
        </is>
      </c>
      <c r="C25" s="9">
        <f>SUM(C16:C24)</f>
        <v/>
      </c>
      <c r="D25" s="9">
        <f>SUM(D16:D24)</f>
        <v/>
      </c>
      <c r="F25" s="7" t="inlineStr">
        <is>
          <t>Balance</t>
        </is>
      </c>
      <c r="G25" s="7" t="n"/>
      <c r="H25" s="9">
        <f>SUM(H16:H24)</f>
        <v/>
      </c>
      <c r="I25" s="9">
        <f>SUM(I16:I24)</f>
        <v/>
      </c>
      <c r="K25" s="7" t="inlineStr">
        <is>
          <t>Balance</t>
        </is>
      </c>
      <c r="L25" s="7" t="n"/>
      <c r="M25" s="9">
        <f>SUM(M16:M20)</f>
        <v/>
      </c>
      <c r="N25" s="9">
        <f>SUM(N16:N20)</f>
        <v/>
      </c>
      <c r="P25" s="7" t="inlineStr">
        <is>
          <t>Balance</t>
        </is>
      </c>
      <c r="Q25" s="7" t="n"/>
      <c r="R25" s="9">
        <f>SUM(R16:R24)</f>
        <v/>
      </c>
      <c r="S25" s="9">
        <f>SUM(S16:S24)</f>
        <v/>
      </c>
    </row>
  </sheetData>
  <mergeCells count="10">
    <mergeCell ref="F14:I14"/>
    <mergeCell ref="B3:D3"/>
    <mergeCell ref="B5:D5"/>
    <mergeCell ref="B14:D14"/>
    <mergeCell ref="P14:S14"/>
    <mergeCell ref="K14:N14"/>
    <mergeCell ref="F2:I2"/>
    <mergeCell ref="P7:S8"/>
    <mergeCell ref="K7:N8"/>
    <mergeCell ref="B2:D2"/>
  </mergeCells>
  <dataValidations count="1">
    <dataValidation sqref="G4:G12 G16:G25 L16:L25 Q16:Q25" showDropDown="1" showInputMessage="0" showErrorMessage="1" allowBlank="1" type="custom">
      <formula1>OR(NOT(ISERROR(DATEVALUE(G4))), AND(ISNUMBER(G4), LEFT(CELL("format", G4))="D"))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B2:S25"/>
  <sheetViews>
    <sheetView showGridLines="0" zoomScale="95" workbookViewId="0">
      <selection activeCell="D8" sqref="D8"/>
    </sheetView>
  </sheetViews>
  <sheetFormatPr baseColWidth="8" defaultColWidth="12.6640625" defaultRowHeight="15.75" customHeight="1"/>
  <cols>
    <col width="2.6640625" customWidth="1" style="53" min="1" max="1"/>
    <col width="11.33203125" customWidth="1" style="53" min="3" max="4"/>
    <col width="2.6640625" customWidth="1" style="53" min="5" max="5"/>
    <col width="14.44140625" customWidth="1" style="53" min="6" max="6"/>
    <col width="5.109375" customWidth="1" style="53" min="7" max="7"/>
    <col width="11.33203125" customWidth="1" style="53" min="8" max="9"/>
    <col width="2.6640625" customWidth="1" style="53" min="10" max="10"/>
    <col width="14.44140625" customWidth="1" style="53" min="11" max="11"/>
    <col width="5.109375" customWidth="1" style="53" min="12" max="12"/>
    <col width="11.33203125" customWidth="1" style="53" min="13" max="14"/>
    <col width="2.6640625" customWidth="1" style="53" min="15" max="15"/>
    <col width="14.44140625" customWidth="1" style="53" min="16" max="16"/>
    <col width="5.109375" customWidth="1" style="53" min="17" max="17"/>
    <col width="11.33203125" customWidth="1" style="53" min="18" max="19"/>
  </cols>
  <sheetData>
    <row r="2" ht="15.75" customHeight="1" s="53">
      <c r="B2" s="71" t="inlineStr">
        <is>
          <t>April</t>
        </is>
      </c>
      <c r="E2" s="1" t="n"/>
      <c r="F2" s="66" t="inlineStr">
        <is>
          <t>Income</t>
        </is>
      </c>
      <c r="K2" s="25" t="n"/>
      <c r="L2" s="26" t="n"/>
      <c r="M2" s="26" t="n"/>
      <c r="N2" s="27" t="n"/>
      <c r="P2" s="25" t="n"/>
      <c r="Q2" s="26" t="n"/>
      <c r="R2" s="26" t="n"/>
      <c r="S2" s="27" t="n"/>
    </row>
    <row r="3" ht="13.2" customHeight="1" s="53">
      <c r="B3" s="72" t="inlineStr">
        <is>
          <t>Monthly Budget</t>
        </is>
      </c>
      <c r="F3" s="2" t="n"/>
      <c r="G3" s="3" t="inlineStr">
        <is>
          <t xml:space="preserve">Date </t>
        </is>
      </c>
      <c r="H3" s="4" t="inlineStr">
        <is>
          <t xml:space="preserve">Budget </t>
        </is>
      </c>
      <c r="I3" s="4" t="inlineStr">
        <is>
          <t>Actual</t>
        </is>
      </c>
      <c r="K3" s="28" t="n"/>
      <c r="N3" s="29" t="n"/>
      <c r="P3" s="28" t="n"/>
      <c r="S3" s="29" t="n"/>
    </row>
    <row r="4" ht="13.2" customHeight="1" s="53">
      <c r="B4" s="5" t="n"/>
      <c r="C4" s="5" t="n"/>
      <c r="D4" s="5" t="n"/>
      <c r="E4" s="6" t="n"/>
      <c r="F4" s="7" t="inlineStr">
        <is>
          <t xml:space="preserve">Pay Check </t>
        </is>
      </c>
      <c r="G4" s="8" t="n"/>
      <c r="H4" s="9" t="n">
        <v>65000</v>
      </c>
      <c r="I4" s="9" t="n">
        <v>65000</v>
      </c>
      <c r="K4" s="28" t="n"/>
      <c r="N4" s="29" t="n"/>
      <c r="P4" s="28" t="n"/>
      <c r="S4" s="29" t="n"/>
    </row>
    <row r="5" ht="13.2" customHeight="1" s="53">
      <c r="B5" s="62" t="inlineStr">
        <is>
          <t xml:space="preserve">Cash Flow </t>
        </is>
      </c>
      <c r="E5" s="6" t="n"/>
      <c r="F5" s="7" t="inlineStr">
        <is>
          <t>Other Income</t>
        </is>
      </c>
      <c r="G5" s="8" t="n"/>
      <c r="H5" s="9" t="n">
        <v>3000</v>
      </c>
      <c r="I5" s="9" t="n">
        <v>6250</v>
      </c>
      <c r="K5" s="28" t="n"/>
      <c r="N5" s="29" t="n"/>
      <c r="P5" s="28" t="n"/>
      <c r="S5" s="29" t="n"/>
    </row>
    <row r="6" ht="13.2" customHeight="1" s="53">
      <c r="B6" s="10" t="n"/>
      <c r="C6" s="11" t="inlineStr">
        <is>
          <t xml:space="preserve">Budget </t>
        </is>
      </c>
      <c r="D6" s="11" t="inlineStr">
        <is>
          <t>Actual</t>
        </is>
      </c>
      <c r="E6" s="6" t="n"/>
      <c r="F6" s="7" t="n"/>
      <c r="G6" s="8" t="n"/>
      <c r="H6" s="9" t="n"/>
      <c r="I6" s="9" t="n"/>
      <c r="K6" s="28" t="n"/>
      <c r="N6" s="29" t="n"/>
      <c r="P6" s="28" t="n"/>
      <c r="S6" s="29" t="n"/>
    </row>
    <row r="7" ht="13.2" customHeight="1" s="53">
      <c r="B7" s="7" t="inlineStr">
        <is>
          <t xml:space="preserve">Start Balance </t>
        </is>
      </c>
      <c r="C7" s="9" t="n">
        <v>8000</v>
      </c>
      <c r="D7" s="9" t="n">
        <v>6000</v>
      </c>
      <c r="F7" s="7" t="n"/>
      <c r="G7" s="8" t="n"/>
      <c r="H7" s="9" t="n"/>
      <c r="I7" s="9" t="n"/>
      <c r="K7" s="67">
        <f>C12</f>
        <v/>
      </c>
      <c r="N7" s="68" t="n"/>
      <c r="P7" s="67">
        <f>D12</f>
        <v/>
      </c>
      <c r="S7" s="68" t="n"/>
    </row>
    <row r="8" ht="13.2" customHeight="1" s="53">
      <c r="B8" s="7" t="inlineStr">
        <is>
          <t>Income</t>
        </is>
      </c>
      <c r="C8" s="9" t="n">
        <v>68000</v>
      </c>
      <c r="D8" s="9" t="n">
        <v>71250</v>
      </c>
      <c r="F8" s="7" t="n"/>
      <c r="G8" s="8" t="n"/>
      <c r="H8" s="9" t="n"/>
      <c r="I8" s="9" t="n"/>
      <c r="K8" s="69" t="n"/>
      <c r="N8" s="68" t="n"/>
      <c r="P8" s="69" t="n"/>
      <c r="S8" s="68" t="n"/>
    </row>
    <row r="9" ht="13.2" customHeight="1" s="53">
      <c r="B9" s="7" t="inlineStr">
        <is>
          <t>Expense</t>
        </is>
      </c>
      <c r="C9" s="9" t="n">
        <v>18500</v>
      </c>
      <c r="D9" s="9" t="n">
        <v>19350</v>
      </c>
      <c r="F9" s="7" t="n"/>
      <c r="G9" s="8" t="n"/>
      <c r="H9" s="9" t="n"/>
      <c r="I9" s="9" t="n"/>
      <c r="K9" s="28" t="n"/>
      <c r="N9" s="29" t="n"/>
      <c r="P9" s="28" t="n"/>
      <c r="S9" s="29" t="n"/>
    </row>
    <row r="10" ht="13.2" customHeight="1" s="53">
      <c r="B10" s="7" t="inlineStr">
        <is>
          <t xml:space="preserve">Debt </t>
        </is>
      </c>
      <c r="C10" s="9" t="n">
        <v>7000</v>
      </c>
      <c r="D10" s="9" t="n">
        <v>7000</v>
      </c>
      <c r="F10" s="7" t="n"/>
      <c r="G10" s="8" t="n"/>
      <c r="H10" s="9" t="n"/>
      <c r="I10" s="9" t="n"/>
      <c r="K10" s="28" t="n"/>
      <c r="N10" s="29" t="n"/>
      <c r="P10" s="28" t="n"/>
      <c r="S10" s="29" t="n"/>
    </row>
    <row r="11" ht="13.2" customHeight="1" s="53">
      <c r="B11" s="7" t="inlineStr">
        <is>
          <t>Savings</t>
        </is>
      </c>
      <c r="C11" s="9" t="n">
        <v>12000</v>
      </c>
      <c r="D11" s="9" t="n">
        <v>13500</v>
      </c>
      <c r="F11" s="7" t="n"/>
      <c r="G11" s="8" t="n"/>
      <c r="H11" s="9" t="n"/>
      <c r="I11" s="9" t="n"/>
      <c r="K11" s="28" t="n"/>
      <c r="N11" s="29" t="n"/>
      <c r="P11" s="28" t="n"/>
      <c r="S11" s="29" t="n"/>
    </row>
    <row r="12" ht="13.2" customHeight="1" s="53">
      <c r="B12" s="7" t="inlineStr">
        <is>
          <t>Balance</t>
        </is>
      </c>
      <c r="C12" s="9">
        <f>C7+C8-C9-C10-C11</f>
        <v/>
      </c>
      <c r="D12" s="9">
        <f>D7+D8-D9-D10-D11</f>
        <v/>
      </c>
      <c r="F12" s="7" t="inlineStr">
        <is>
          <t>Balance</t>
        </is>
      </c>
      <c r="G12" s="8" t="n"/>
      <c r="H12" s="9">
        <f>SUM(H4:H11)</f>
        <v/>
      </c>
      <c r="I12" s="9">
        <f>SUM(I4:I11)</f>
        <v/>
      </c>
      <c r="K12" s="30" t="n"/>
      <c r="L12" s="31" t="n"/>
      <c r="M12" s="31" t="n"/>
      <c r="N12" s="32" t="n"/>
      <c r="P12" s="30" t="n"/>
      <c r="Q12" s="31" t="n"/>
      <c r="R12" s="31" t="n"/>
      <c r="S12" s="32" t="n"/>
    </row>
    <row r="13" ht="13.2" customHeight="1" s="53">
      <c r="B13" s="12" t="inlineStr">
        <is>
          <t>Spent</t>
        </is>
      </c>
      <c r="C13" s="13">
        <f>SUM(C9:C12)</f>
        <v/>
      </c>
      <c r="D13" s="13">
        <f>SUM(D9:D12)</f>
        <v/>
      </c>
    </row>
    <row r="14" ht="13.2" customHeight="1" s="53">
      <c r="B14" s="65" t="inlineStr">
        <is>
          <t>Savings &amp; Investments</t>
        </is>
      </c>
      <c r="E14" s="5" t="n"/>
      <c r="F14" s="60" t="inlineStr">
        <is>
          <t>Expenses</t>
        </is>
      </c>
      <c r="K14" s="63" t="inlineStr">
        <is>
          <t xml:space="preserve">Bills </t>
        </is>
      </c>
      <c r="P14" s="64" t="inlineStr">
        <is>
          <t xml:space="preserve">Debts </t>
        </is>
      </c>
    </row>
    <row r="15" ht="13.2" customHeight="1" s="53">
      <c r="B15" s="14" t="n"/>
      <c r="C15" s="15" t="inlineStr">
        <is>
          <t xml:space="preserve">Budget </t>
        </is>
      </c>
      <c r="D15" s="15" t="inlineStr">
        <is>
          <t>Actual</t>
        </is>
      </c>
      <c r="F15" s="16" t="n"/>
      <c r="G15" s="17" t="inlineStr">
        <is>
          <t>Date</t>
        </is>
      </c>
      <c r="H15" s="17" t="inlineStr">
        <is>
          <t>Budget</t>
        </is>
      </c>
      <c r="I15" s="17" t="inlineStr">
        <is>
          <t>Actual</t>
        </is>
      </c>
      <c r="K15" s="18" t="n"/>
      <c r="L15" s="19" t="inlineStr">
        <is>
          <t xml:space="preserve">Date </t>
        </is>
      </c>
      <c r="M15" s="19" t="inlineStr">
        <is>
          <t xml:space="preserve">Budget </t>
        </is>
      </c>
      <c r="N15" s="19" t="inlineStr">
        <is>
          <t xml:space="preserve">Actual </t>
        </is>
      </c>
      <c r="P15" s="20" t="n"/>
      <c r="Q15" s="21" t="inlineStr">
        <is>
          <t xml:space="preserve">Date </t>
        </is>
      </c>
      <c r="R15" s="21" t="inlineStr">
        <is>
          <t xml:space="preserve">Budget </t>
        </is>
      </c>
      <c r="S15" s="21" t="inlineStr">
        <is>
          <t xml:space="preserve">Actual </t>
        </is>
      </c>
    </row>
    <row r="16" ht="13.2" customHeight="1" s="53">
      <c r="B16" s="7" t="inlineStr">
        <is>
          <t>Emergency</t>
        </is>
      </c>
      <c r="C16" s="22" t="n">
        <v>5000</v>
      </c>
      <c r="D16" s="22" t="n">
        <v>5000</v>
      </c>
      <c r="E16" s="6" t="n"/>
      <c r="F16" s="7" t="inlineStr">
        <is>
          <t xml:space="preserve">Bus </t>
        </is>
      </c>
      <c r="G16" s="23" t="n"/>
      <c r="H16" s="9" t="n">
        <v>1500</v>
      </c>
      <c r="I16" s="9" t="n">
        <v>1350</v>
      </c>
      <c r="K16" s="7" t="inlineStr">
        <is>
          <t xml:space="preserve">Rent </t>
        </is>
      </c>
      <c r="L16" s="7" t="n"/>
      <c r="M16" s="9" t="n">
        <v>15000</v>
      </c>
      <c r="N16" s="9" t="n">
        <v>15000</v>
      </c>
      <c r="P16" s="7" t="inlineStr">
        <is>
          <t xml:space="preserve">Visa Card </t>
        </is>
      </c>
      <c r="Q16" s="7" t="n"/>
      <c r="R16" s="9" t="n">
        <v>2500</v>
      </c>
      <c r="S16" s="9" t="n">
        <v>2500</v>
      </c>
    </row>
    <row r="17" ht="13.2" customHeight="1" s="53">
      <c r="B17" s="7" t="inlineStr">
        <is>
          <t xml:space="preserve">Vacation </t>
        </is>
      </c>
      <c r="C17" s="22" t="n">
        <v>2000</v>
      </c>
      <c r="D17" s="22" t="n">
        <v>1500</v>
      </c>
      <c r="E17" s="6" t="n"/>
      <c r="F17" s="7" t="inlineStr">
        <is>
          <t>Uber/Rapido</t>
        </is>
      </c>
      <c r="G17" s="7" t="n"/>
      <c r="H17" s="9" t="n">
        <v>2500</v>
      </c>
      <c r="I17" s="9" t="n">
        <v>2900</v>
      </c>
      <c r="K17" s="7" t="inlineStr">
        <is>
          <t>Electricity</t>
        </is>
      </c>
      <c r="L17" s="7" t="n"/>
      <c r="M17" s="9" t="n">
        <v>2000</v>
      </c>
      <c r="N17" s="9" t="n">
        <v>2250</v>
      </c>
      <c r="P17" s="7" t="inlineStr">
        <is>
          <t>Mastercaard</t>
        </is>
      </c>
      <c r="Q17" s="7" t="n"/>
      <c r="R17" s="9" t="n">
        <v>2000</v>
      </c>
      <c r="S17" s="9" t="n">
        <v>2000</v>
      </c>
    </row>
    <row r="18" ht="13.2" customHeight="1" s="53">
      <c r="B18" s="7" t="inlineStr">
        <is>
          <t xml:space="preserve">Other </t>
        </is>
      </c>
      <c r="C18" s="22" t="n">
        <v>1000</v>
      </c>
      <c r="D18" s="22" t="n">
        <v>800</v>
      </c>
      <c r="E18" s="6" t="n"/>
      <c r="F18" s="7" t="inlineStr">
        <is>
          <t>Dining Out</t>
        </is>
      </c>
      <c r="G18" s="7" t="n"/>
      <c r="H18" s="9" t="n">
        <v>3500</v>
      </c>
      <c r="I18" s="9" t="n">
        <v>4100</v>
      </c>
      <c r="K18" s="7" t="inlineStr">
        <is>
          <t>Cell Phone</t>
        </is>
      </c>
      <c r="L18" s="7" t="n"/>
      <c r="M18" s="9" t="n">
        <v>800</v>
      </c>
      <c r="N18" s="9" t="n">
        <v>799</v>
      </c>
      <c r="P18" s="7" t="inlineStr">
        <is>
          <t>Personal Loan</t>
        </is>
      </c>
      <c r="Q18" s="7" t="n"/>
      <c r="R18" s="9" t="n">
        <v>2500</v>
      </c>
      <c r="S18" s="9" t="n">
        <v>2500</v>
      </c>
    </row>
    <row r="19" ht="13.2" customHeight="1" s="53">
      <c r="B19" s="7" t="inlineStr">
        <is>
          <t>Investment</t>
        </is>
      </c>
      <c r="C19" s="22" t="n">
        <v>4000</v>
      </c>
      <c r="D19" s="22" t="n">
        <v>6200</v>
      </c>
      <c r="E19" s="6" t="n"/>
      <c r="F19" s="7" t="inlineStr">
        <is>
          <t>Other Expenses</t>
        </is>
      </c>
      <c r="G19" s="24" t="n"/>
      <c r="H19" s="9" t="n">
        <v>2000</v>
      </c>
      <c r="I19" s="9" t="n">
        <v>1700</v>
      </c>
      <c r="K19" s="7" t="inlineStr">
        <is>
          <t xml:space="preserve">Internet </t>
        </is>
      </c>
      <c r="L19" s="7" t="n"/>
      <c r="M19" s="9" t="n">
        <v>1000</v>
      </c>
      <c r="N19" s="9" t="n">
        <v>999</v>
      </c>
      <c r="Q19" s="7" t="n"/>
      <c r="R19" s="9" t="n"/>
      <c r="S19" s="9" t="n"/>
    </row>
    <row r="20" ht="13.2" customHeight="1" s="53">
      <c r="C20" s="9" t="n"/>
      <c r="D20" s="9" t="n"/>
      <c r="E20" s="6" t="n"/>
      <c r="F20" s="7" t="inlineStr">
        <is>
          <t>Food Outside</t>
        </is>
      </c>
      <c r="G20" s="7" t="n"/>
      <c r="H20" s="9" t="n">
        <v>4000</v>
      </c>
      <c r="I20" s="9" t="n">
        <v>4350</v>
      </c>
      <c r="K20" s="7" t="inlineStr">
        <is>
          <t>Bus Pass</t>
        </is>
      </c>
      <c r="L20" s="7" t="n"/>
      <c r="M20" s="9" t="n">
        <v>1200</v>
      </c>
      <c r="N20" s="9" t="n">
        <v>1200</v>
      </c>
      <c r="P20" s="7" t="n"/>
      <c r="Q20" s="7" t="n"/>
      <c r="R20" s="9" t="n"/>
      <c r="S20" s="9" t="n"/>
    </row>
    <row r="21" ht="13.2" customHeight="1" s="53">
      <c r="B21" s="7" t="n"/>
      <c r="C21" s="9" t="n"/>
      <c r="D21" s="9" t="n"/>
      <c r="F21" s="7" t="inlineStr">
        <is>
          <t>Food Order</t>
        </is>
      </c>
      <c r="G21" s="23" t="n"/>
      <c r="H21" s="9" t="n">
        <v>5000</v>
      </c>
      <c r="I21" s="9" t="n">
        <v>4950</v>
      </c>
      <c r="L21" s="7" t="n"/>
      <c r="M21" s="9" t="n"/>
      <c r="N21" s="9" t="n"/>
      <c r="P21" s="7" t="n"/>
      <c r="Q21" s="7" t="n"/>
      <c r="R21" s="9" t="n"/>
      <c r="S21" s="9" t="n"/>
    </row>
    <row r="22" ht="13.2" customHeight="1" s="53">
      <c r="B22" s="7" t="n"/>
      <c r="C22" s="9" t="n"/>
      <c r="D22" s="9" t="n"/>
      <c r="G22" s="7" t="n"/>
      <c r="H22" s="9" t="n"/>
      <c r="I22" s="9" t="n"/>
      <c r="K22" s="7" t="n"/>
      <c r="L22" s="7" t="n"/>
      <c r="M22" s="9" t="n"/>
      <c r="N22" s="9" t="n"/>
      <c r="P22" s="7" t="n"/>
      <c r="Q22" s="7" t="n"/>
      <c r="R22" s="9" t="n"/>
      <c r="S22" s="9" t="n"/>
    </row>
    <row r="23" ht="13.2" customHeight="1" s="53">
      <c r="B23" s="7" t="n"/>
      <c r="C23" s="9" t="n"/>
      <c r="D23" s="9" t="n"/>
      <c r="F23" s="7" t="n"/>
      <c r="G23" s="7" t="n"/>
      <c r="H23" s="9" t="n"/>
      <c r="I23" s="9" t="n"/>
      <c r="K23" s="7" t="n"/>
      <c r="L23" s="7" t="n"/>
      <c r="M23" s="9" t="n"/>
      <c r="N23" s="9" t="n"/>
      <c r="P23" s="7" t="n"/>
      <c r="Q23" s="7" t="n"/>
      <c r="R23" s="9" t="n"/>
      <c r="S23" s="9" t="n"/>
    </row>
    <row r="24" ht="13.2" customHeight="1" s="53">
      <c r="B24" s="7" t="n"/>
      <c r="C24" s="9" t="n"/>
      <c r="D24" s="9" t="n"/>
      <c r="F24" s="7" t="n"/>
      <c r="G24" s="7" t="n"/>
      <c r="H24" s="9" t="n"/>
      <c r="I24" s="9" t="n"/>
      <c r="K24" s="7" t="n"/>
      <c r="L24" s="7" t="n"/>
      <c r="M24" s="9" t="n"/>
      <c r="N24" s="9" t="n"/>
      <c r="P24" s="7" t="n"/>
      <c r="Q24" s="7" t="n"/>
      <c r="R24" s="9" t="n"/>
      <c r="S24" s="9" t="n"/>
    </row>
    <row r="25" ht="13.2" customHeight="1" s="53">
      <c r="B25" s="7" t="inlineStr">
        <is>
          <t>Balance</t>
        </is>
      </c>
      <c r="C25" s="9">
        <f>SUM(C16:C24)</f>
        <v/>
      </c>
      <c r="D25" s="9">
        <f>SUM(D16:D24)</f>
        <v/>
      </c>
      <c r="F25" s="7" t="inlineStr">
        <is>
          <t>Balance</t>
        </is>
      </c>
      <c r="G25" s="7" t="n"/>
      <c r="H25" s="9">
        <f>SUM(H16:H24)</f>
        <v/>
      </c>
      <c r="I25" s="9">
        <f>SUM(I16:I24)</f>
        <v/>
      </c>
      <c r="K25" s="7" t="inlineStr">
        <is>
          <t>Balance</t>
        </is>
      </c>
      <c r="L25" s="7" t="n"/>
      <c r="M25" s="9">
        <f>SUM(M16:M20)</f>
        <v/>
      </c>
      <c r="N25" s="9">
        <f>SUM(N16:N20)</f>
        <v/>
      </c>
      <c r="P25" s="7" t="inlineStr">
        <is>
          <t>Balance</t>
        </is>
      </c>
      <c r="Q25" s="7" t="n"/>
      <c r="R25" s="9">
        <f>SUM(R16:R24)</f>
        <v/>
      </c>
      <c r="S25" s="9">
        <f>SUM(S16:S24)</f>
        <v/>
      </c>
    </row>
  </sheetData>
  <mergeCells count="10">
    <mergeCell ref="F14:I14"/>
    <mergeCell ref="B3:D3"/>
    <mergeCell ref="B5:D5"/>
    <mergeCell ref="B14:D14"/>
    <mergeCell ref="P14:S14"/>
    <mergeCell ref="K14:N14"/>
    <mergeCell ref="F2:I2"/>
    <mergeCell ref="P7:S8"/>
    <mergeCell ref="K7:N8"/>
    <mergeCell ref="B2:D2"/>
  </mergeCells>
  <dataValidations count="1">
    <dataValidation sqref="G4:G12 G16:G25 L16:L25 Q16:Q25" showDropDown="1" showInputMessage="0" showErrorMessage="1" allowBlank="1" type="custom">
      <formula1>OR(NOT(ISERROR(DATEVALUE(G4))), AND(ISNUMBER(G4), LEFT(CELL("format", G4))="D"))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B2:S25"/>
  <sheetViews>
    <sheetView showGridLines="0" zoomScale="95" workbookViewId="0">
      <selection activeCell="D8" sqref="D8"/>
    </sheetView>
  </sheetViews>
  <sheetFormatPr baseColWidth="8" defaultColWidth="12.6640625" defaultRowHeight="15.75" customHeight="1"/>
  <cols>
    <col width="2.6640625" customWidth="1" style="53" min="1" max="1"/>
    <col width="11.33203125" customWidth="1" style="53" min="3" max="4"/>
    <col width="2.6640625" customWidth="1" style="53" min="5" max="5"/>
    <col width="14.44140625" customWidth="1" style="53" min="6" max="6"/>
    <col width="5.109375" customWidth="1" style="53" min="7" max="7"/>
    <col width="11.33203125" customWidth="1" style="53" min="8" max="9"/>
    <col width="2.6640625" customWidth="1" style="53" min="10" max="10"/>
    <col width="14.44140625" customWidth="1" style="53" min="11" max="11"/>
    <col width="5.109375" customWidth="1" style="53" min="12" max="12"/>
    <col width="11.33203125" customWidth="1" style="53" min="13" max="14"/>
    <col width="2.6640625" customWidth="1" style="53" min="15" max="15"/>
    <col width="14.44140625" customWidth="1" style="53" min="16" max="16"/>
    <col width="5.109375" customWidth="1" style="53" min="17" max="17"/>
    <col width="11.33203125" customWidth="1" style="53" min="18" max="19"/>
  </cols>
  <sheetData>
    <row r="2" ht="15.75" customHeight="1" s="53">
      <c r="B2" s="71" t="inlineStr">
        <is>
          <t>May</t>
        </is>
      </c>
      <c r="E2" s="1" t="n"/>
      <c r="F2" s="66" t="inlineStr">
        <is>
          <t>Income</t>
        </is>
      </c>
      <c r="K2" s="25" t="n"/>
      <c r="L2" s="26" t="n"/>
      <c r="M2" s="26" t="n"/>
      <c r="N2" s="27" t="n"/>
      <c r="P2" s="25" t="n"/>
      <c r="Q2" s="26" t="n"/>
      <c r="R2" s="26" t="n"/>
      <c r="S2" s="27" t="n"/>
    </row>
    <row r="3" ht="13.2" customHeight="1" s="53">
      <c r="B3" s="72" t="inlineStr">
        <is>
          <t>Monthly Budget</t>
        </is>
      </c>
      <c r="F3" s="2" t="n"/>
      <c r="G3" s="3" t="inlineStr">
        <is>
          <t xml:space="preserve">Date </t>
        </is>
      </c>
      <c r="H3" s="4" t="inlineStr">
        <is>
          <t xml:space="preserve">Budget </t>
        </is>
      </c>
      <c r="I3" s="4" t="inlineStr">
        <is>
          <t>Actual</t>
        </is>
      </c>
      <c r="K3" s="28" t="n"/>
      <c r="N3" s="29" t="n"/>
      <c r="P3" s="28" t="n"/>
      <c r="S3" s="29" t="n"/>
    </row>
    <row r="4" ht="13.2" customHeight="1" s="53">
      <c r="B4" s="5" t="n"/>
      <c r="C4" s="5" t="n"/>
      <c r="D4" s="5" t="n"/>
      <c r="E4" s="6" t="n"/>
      <c r="F4" s="7" t="inlineStr">
        <is>
          <t xml:space="preserve">Pay Check </t>
        </is>
      </c>
      <c r="G4" s="8" t="n"/>
      <c r="H4" s="9" t="n">
        <v>65000</v>
      </c>
      <c r="I4" s="9" t="n">
        <v>65000</v>
      </c>
      <c r="K4" s="28" t="n"/>
      <c r="N4" s="29" t="n"/>
      <c r="P4" s="28" t="n"/>
      <c r="S4" s="29" t="n"/>
    </row>
    <row r="5" ht="13.2" customHeight="1" s="53">
      <c r="B5" s="62" t="inlineStr">
        <is>
          <t xml:space="preserve">Cash Flow </t>
        </is>
      </c>
      <c r="E5" s="6" t="n"/>
      <c r="F5" s="7" t="inlineStr">
        <is>
          <t>Other Income</t>
        </is>
      </c>
      <c r="G5" s="8" t="n"/>
      <c r="H5" s="9" t="n">
        <v>3000</v>
      </c>
      <c r="I5" s="9" t="n">
        <v>6250</v>
      </c>
      <c r="K5" s="28" t="n"/>
      <c r="N5" s="29" t="n"/>
      <c r="P5" s="28" t="n"/>
      <c r="S5" s="29" t="n"/>
    </row>
    <row r="6" ht="13.2" customHeight="1" s="53">
      <c r="B6" s="10" t="n"/>
      <c r="C6" s="11" t="inlineStr">
        <is>
          <t xml:space="preserve">Budget </t>
        </is>
      </c>
      <c r="D6" s="11" t="inlineStr">
        <is>
          <t>Actual</t>
        </is>
      </c>
      <c r="E6" s="6" t="n"/>
      <c r="F6" s="7" t="n"/>
      <c r="G6" s="8" t="n"/>
      <c r="H6" s="9" t="n"/>
      <c r="I6" s="9" t="n"/>
      <c r="K6" s="28" t="n"/>
      <c r="N6" s="29" t="n"/>
      <c r="P6" s="28" t="n"/>
      <c r="S6" s="29" t="n"/>
    </row>
    <row r="7" ht="13.2" customHeight="1" s="53">
      <c r="B7" s="7" t="inlineStr">
        <is>
          <t xml:space="preserve">Start Balance </t>
        </is>
      </c>
      <c r="C7" s="9" t="n">
        <v>8000</v>
      </c>
      <c r="D7" s="9" t="n">
        <v>9000</v>
      </c>
      <c r="F7" s="7" t="n"/>
      <c r="G7" s="8" t="n"/>
      <c r="H7" s="9" t="n"/>
      <c r="I7" s="9" t="n"/>
      <c r="K7" s="67">
        <f>C12</f>
        <v/>
      </c>
      <c r="N7" s="68" t="n"/>
      <c r="P7" s="67">
        <f>D12</f>
        <v/>
      </c>
      <c r="S7" s="68" t="n"/>
    </row>
    <row r="8" ht="13.2" customHeight="1" s="53">
      <c r="B8" s="7" t="inlineStr">
        <is>
          <t>Income</t>
        </is>
      </c>
      <c r="C8" s="9" t="n">
        <v>68000</v>
      </c>
      <c r="D8" s="9" t="n">
        <v>71250</v>
      </c>
      <c r="F8" s="7" t="n"/>
      <c r="G8" s="8" t="n"/>
      <c r="H8" s="9" t="n"/>
      <c r="I8" s="9" t="n"/>
      <c r="K8" s="69" t="n"/>
      <c r="N8" s="68" t="n"/>
      <c r="P8" s="69" t="n"/>
      <c r="S8" s="68" t="n"/>
    </row>
    <row r="9" ht="13.2" customHeight="1" s="53">
      <c r="B9" s="7" t="inlineStr">
        <is>
          <t>Expense</t>
        </is>
      </c>
      <c r="C9" s="9" t="n">
        <v>18500</v>
      </c>
      <c r="D9" s="9" t="n">
        <v>19350</v>
      </c>
      <c r="F9" s="7" t="n"/>
      <c r="G9" s="8" t="n"/>
      <c r="H9" s="9" t="n"/>
      <c r="I9" s="9" t="n"/>
      <c r="K9" s="28" t="n"/>
      <c r="N9" s="29" t="n"/>
      <c r="P9" s="28" t="n"/>
      <c r="S9" s="29" t="n"/>
    </row>
    <row r="10" ht="13.2" customHeight="1" s="53">
      <c r="B10" s="7" t="inlineStr">
        <is>
          <t xml:space="preserve">Debt </t>
        </is>
      </c>
      <c r="C10" s="9" t="n">
        <v>7000</v>
      </c>
      <c r="D10" s="9" t="n">
        <v>7000</v>
      </c>
      <c r="F10" s="7" t="n"/>
      <c r="G10" s="8" t="n"/>
      <c r="H10" s="9" t="n"/>
      <c r="I10" s="9" t="n"/>
      <c r="K10" s="28" t="n"/>
      <c r="N10" s="29" t="n"/>
      <c r="P10" s="28" t="n"/>
      <c r="S10" s="29" t="n"/>
    </row>
    <row r="11" ht="13.2" customHeight="1" s="53">
      <c r="B11" s="7" t="inlineStr">
        <is>
          <t>Savings</t>
        </is>
      </c>
      <c r="C11" s="9" t="n">
        <v>12000</v>
      </c>
      <c r="D11" s="9" t="n">
        <v>13500</v>
      </c>
      <c r="F11" s="7" t="n"/>
      <c r="G11" s="8" t="n"/>
      <c r="H11" s="9" t="n"/>
      <c r="I11" s="9" t="n"/>
      <c r="K11" s="28" t="n"/>
      <c r="N11" s="29" t="n"/>
      <c r="P11" s="28" t="n"/>
      <c r="S11" s="29" t="n"/>
    </row>
    <row r="12" ht="13.2" customHeight="1" s="53">
      <c r="B12" s="7" t="inlineStr">
        <is>
          <t>Balance</t>
        </is>
      </c>
      <c r="C12" s="9">
        <f>C7+C8-C9-C10-C11</f>
        <v/>
      </c>
      <c r="D12" s="9">
        <f>D7+D8-D9-D10-D11</f>
        <v/>
      </c>
      <c r="F12" s="7" t="inlineStr">
        <is>
          <t>Balance</t>
        </is>
      </c>
      <c r="G12" s="8" t="n"/>
      <c r="H12" s="9">
        <f>SUM(H4:H11)</f>
        <v/>
      </c>
      <c r="I12" s="9">
        <f>SUM(I4:I11)</f>
        <v/>
      </c>
      <c r="K12" s="30" t="n"/>
      <c r="L12" s="31" t="n"/>
      <c r="M12" s="31" t="n"/>
      <c r="N12" s="32" t="n"/>
      <c r="P12" s="30" t="n"/>
      <c r="Q12" s="31" t="n"/>
      <c r="R12" s="31" t="n"/>
      <c r="S12" s="32" t="n"/>
    </row>
    <row r="13" ht="13.2" customHeight="1" s="53">
      <c r="B13" s="12" t="inlineStr">
        <is>
          <t>Spent</t>
        </is>
      </c>
      <c r="C13" s="13">
        <f>SUM(C9:C12)</f>
        <v/>
      </c>
      <c r="D13" s="13">
        <f>SUM(D9:D12)</f>
        <v/>
      </c>
    </row>
    <row r="14" ht="13.2" customHeight="1" s="53">
      <c r="B14" s="65" t="inlineStr">
        <is>
          <t>Savings &amp; Investments</t>
        </is>
      </c>
      <c r="E14" s="5" t="n"/>
      <c r="F14" s="60" t="inlineStr">
        <is>
          <t>Expenses</t>
        </is>
      </c>
      <c r="K14" s="63" t="inlineStr">
        <is>
          <t xml:space="preserve">Bills </t>
        </is>
      </c>
      <c r="P14" s="64" t="inlineStr">
        <is>
          <t xml:space="preserve">Debts </t>
        </is>
      </c>
    </row>
    <row r="15" ht="13.2" customHeight="1" s="53">
      <c r="B15" s="14" t="n"/>
      <c r="C15" s="15" t="inlineStr">
        <is>
          <t xml:space="preserve">Budget </t>
        </is>
      </c>
      <c r="D15" s="15" t="inlineStr">
        <is>
          <t>Actual</t>
        </is>
      </c>
      <c r="F15" s="16" t="n"/>
      <c r="G15" s="17" t="inlineStr">
        <is>
          <t>Date</t>
        </is>
      </c>
      <c r="H15" s="17" t="inlineStr">
        <is>
          <t>Budget</t>
        </is>
      </c>
      <c r="I15" s="17" t="inlineStr">
        <is>
          <t>Actual</t>
        </is>
      </c>
      <c r="K15" s="18" t="n"/>
      <c r="L15" s="19" t="inlineStr">
        <is>
          <t xml:space="preserve">Date </t>
        </is>
      </c>
      <c r="M15" s="19" t="inlineStr">
        <is>
          <t xml:space="preserve">Budget </t>
        </is>
      </c>
      <c r="N15" s="19" t="inlineStr">
        <is>
          <t xml:space="preserve">Actual </t>
        </is>
      </c>
      <c r="P15" s="20" t="n"/>
      <c r="Q15" s="21" t="inlineStr">
        <is>
          <t xml:space="preserve">Date </t>
        </is>
      </c>
      <c r="R15" s="21" t="inlineStr">
        <is>
          <t xml:space="preserve">Budget </t>
        </is>
      </c>
      <c r="S15" s="21" t="inlineStr">
        <is>
          <t xml:space="preserve">Actual </t>
        </is>
      </c>
    </row>
    <row r="16" ht="13.2" customHeight="1" s="53">
      <c r="B16" s="7" t="inlineStr">
        <is>
          <t>Emergency</t>
        </is>
      </c>
      <c r="C16" s="22" t="n">
        <v>5000</v>
      </c>
      <c r="D16" s="22" t="n">
        <v>5000</v>
      </c>
      <c r="E16" s="6" t="n"/>
      <c r="F16" s="7" t="inlineStr">
        <is>
          <t xml:space="preserve">Bus </t>
        </is>
      </c>
      <c r="G16" s="23" t="n"/>
      <c r="H16" s="9" t="n">
        <v>1500</v>
      </c>
      <c r="I16" s="9" t="n">
        <v>1350</v>
      </c>
      <c r="K16" s="7" t="inlineStr">
        <is>
          <t xml:space="preserve">Rent </t>
        </is>
      </c>
      <c r="L16" s="7" t="n"/>
      <c r="M16" s="9" t="n">
        <v>15000</v>
      </c>
      <c r="N16" s="9" t="n">
        <v>15000</v>
      </c>
      <c r="P16" s="7" t="inlineStr">
        <is>
          <t xml:space="preserve">Visa Card </t>
        </is>
      </c>
      <c r="Q16" s="7" t="n"/>
      <c r="R16" s="9" t="n">
        <v>2500</v>
      </c>
      <c r="S16" s="9" t="n">
        <v>2500</v>
      </c>
    </row>
    <row r="17" ht="13.2" customHeight="1" s="53">
      <c r="B17" s="7" t="inlineStr">
        <is>
          <t xml:space="preserve">Vacation </t>
        </is>
      </c>
      <c r="C17" s="22" t="n">
        <v>2000</v>
      </c>
      <c r="D17" s="22" t="n">
        <v>1500</v>
      </c>
      <c r="E17" s="6" t="n"/>
      <c r="F17" s="7" t="inlineStr">
        <is>
          <t>Uber/Rapido</t>
        </is>
      </c>
      <c r="G17" s="7" t="n"/>
      <c r="H17" s="9" t="n">
        <v>2500</v>
      </c>
      <c r="I17" s="9" t="n">
        <v>2900</v>
      </c>
      <c r="K17" s="7" t="inlineStr">
        <is>
          <t>Electricity</t>
        </is>
      </c>
      <c r="L17" s="7" t="n"/>
      <c r="M17" s="9" t="n">
        <v>2000</v>
      </c>
      <c r="N17" s="9" t="n">
        <v>2250</v>
      </c>
      <c r="P17" s="7" t="inlineStr">
        <is>
          <t>Mastercaard</t>
        </is>
      </c>
      <c r="Q17" s="7" t="n"/>
      <c r="R17" s="9" t="n">
        <v>2000</v>
      </c>
      <c r="S17" s="9" t="n">
        <v>2000</v>
      </c>
    </row>
    <row r="18" ht="13.2" customHeight="1" s="53">
      <c r="B18" s="7" t="inlineStr">
        <is>
          <t xml:space="preserve">Other </t>
        </is>
      </c>
      <c r="C18" s="22" t="n">
        <v>1000</v>
      </c>
      <c r="D18" s="22" t="n">
        <v>800</v>
      </c>
      <c r="E18" s="6" t="n"/>
      <c r="F18" s="7" t="inlineStr">
        <is>
          <t>Dining Out</t>
        </is>
      </c>
      <c r="G18" s="7" t="n"/>
      <c r="H18" s="9" t="n">
        <v>3500</v>
      </c>
      <c r="I18" s="9" t="n">
        <v>4100</v>
      </c>
      <c r="K18" s="7" t="inlineStr">
        <is>
          <t>Cell Phone</t>
        </is>
      </c>
      <c r="L18" s="7" t="n"/>
      <c r="M18" s="9" t="n">
        <v>800</v>
      </c>
      <c r="N18" s="9" t="n">
        <v>799</v>
      </c>
      <c r="P18" s="7" t="inlineStr">
        <is>
          <t>Personal Loan</t>
        </is>
      </c>
      <c r="Q18" s="7" t="n"/>
      <c r="R18" s="9" t="n">
        <v>2500</v>
      </c>
      <c r="S18" s="9" t="n">
        <v>2500</v>
      </c>
    </row>
    <row r="19" ht="13.2" customHeight="1" s="53">
      <c r="B19" s="7" t="inlineStr">
        <is>
          <t>Investment</t>
        </is>
      </c>
      <c r="C19" s="22" t="n">
        <v>4000</v>
      </c>
      <c r="D19" s="22" t="n">
        <v>6200</v>
      </c>
      <c r="E19" s="6" t="n"/>
      <c r="F19" s="7" t="inlineStr">
        <is>
          <t>Other Expenses</t>
        </is>
      </c>
      <c r="G19" s="24" t="n"/>
      <c r="H19" s="9" t="n">
        <v>2000</v>
      </c>
      <c r="I19" s="9" t="n">
        <v>1700</v>
      </c>
      <c r="K19" s="7" t="inlineStr">
        <is>
          <t xml:space="preserve">Internet </t>
        </is>
      </c>
      <c r="L19" s="7" t="n"/>
      <c r="M19" s="9" t="n">
        <v>1000</v>
      </c>
      <c r="N19" s="9" t="n">
        <v>999</v>
      </c>
      <c r="Q19" s="7" t="n"/>
      <c r="R19" s="9" t="n"/>
      <c r="S19" s="9" t="n"/>
    </row>
    <row r="20" ht="13.2" customHeight="1" s="53">
      <c r="C20" s="9" t="n"/>
      <c r="D20" s="9" t="n"/>
      <c r="E20" s="6" t="n"/>
      <c r="F20" s="7" t="inlineStr">
        <is>
          <t>Food Outside</t>
        </is>
      </c>
      <c r="G20" s="7" t="n"/>
      <c r="H20" s="9" t="n">
        <v>4000</v>
      </c>
      <c r="I20" s="9" t="n">
        <v>4350</v>
      </c>
      <c r="K20" s="7" t="inlineStr">
        <is>
          <t>Bus Pass</t>
        </is>
      </c>
      <c r="L20" s="7" t="n"/>
      <c r="M20" s="9" t="n">
        <v>1200</v>
      </c>
      <c r="N20" s="9" t="n">
        <v>1200</v>
      </c>
      <c r="P20" s="7" t="n"/>
      <c r="Q20" s="7" t="n"/>
      <c r="R20" s="9" t="n"/>
      <c r="S20" s="9" t="n"/>
    </row>
    <row r="21" ht="13.2" customHeight="1" s="53">
      <c r="B21" s="7" t="n"/>
      <c r="C21" s="9" t="n"/>
      <c r="D21" s="9" t="n"/>
      <c r="F21" s="7" t="inlineStr">
        <is>
          <t>Food Order</t>
        </is>
      </c>
      <c r="G21" s="23" t="n"/>
      <c r="H21" s="9" t="n">
        <v>5000</v>
      </c>
      <c r="I21" s="9" t="n">
        <v>4950</v>
      </c>
      <c r="L21" s="7" t="n"/>
      <c r="M21" s="9" t="n"/>
      <c r="N21" s="9" t="n"/>
      <c r="P21" s="7" t="n"/>
      <c r="Q21" s="7" t="n"/>
      <c r="R21" s="9" t="n"/>
      <c r="S21" s="9" t="n"/>
    </row>
    <row r="22" ht="13.2" customHeight="1" s="53">
      <c r="B22" s="7" t="n"/>
      <c r="C22" s="9" t="n"/>
      <c r="D22" s="9" t="n"/>
      <c r="G22" s="7" t="n"/>
      <c r="H22" s="9" t="n"/>
      <c r="I22" s="9" t="n"/>
      <c r="K22" s="7" t="n"/>
      <c r="L22" s="7" t="n"/>
      <c r="M22" s="9" t="n"/>
      <c r="N22" s="9" t="n"/>
      <c r="P22" s="7" t="n"/>
      <c r="Q22" s="7" t="n"/>
      <c r="R22" s="9" t="n"/>
      <c r="S22" s="9" t="n"/>
    </row>
    <row r="23" ht="13.2" customHeight="1" s="53">
      <c r="B23" s="7" t="n"/>
      <c r="C23" s="9" t="n"/>
      <c r="D23" s="9" t="n"/>
      <c r="F23" s="7" t="n"/>
      <c r="G23" s="7" t="n"/>
      <c r="H23" s="9" t="n"/>
      <c r="I23" s="9" t="n"/>
      <c r="K23" s="7" t="n"/>
      <c r="L23" s="7" t="n"/>
      <c r="M23" s="9" t="n"/>
      <c r="N23" s="9" t="n"/>
      <c r="P23" s="7" t="n"/>
      <c r="Q23" s="7" t="n"/>
      <c r="R23" s="9" t="n"/>
      <c r="S23" s="9" t="n"/>
    </row>
    <row r="24" ht="13.2" customHeight="1" s="53">
      <c r="B24" s="7" t="n"/>
      <c r="C24" s="9" t="n"/>
      <c r="D24" s="9" t="n"/>
      <c r="F24" s="7" t="n"/>
      <c r="G24" s="7" t="n"/>
      <c r="H24" s="9" t="n"/>
      <c r="I24" s="9" t="n"/>
      <c r="K24" s="7" t="n"/>
      <c r="L24" s="7" t="n"/>
      <c r="M24" s="9" t="n"/>
      <c r="N24" s="9" t="n"/>
      <c r="P24" s="7" t="n"/>
      <c r="Q24" s="7" t="n"/>
      <c r="R24" s="9" t="n"/>
      <c r="S24" s="9" t="n"/>
    </row>
    <row r="25" ht="13.2" customHeight="1" s="53">
      <c r="B25" s="7" t="inlineStr">
        <is>
          <t>Balance</t>
        </is>
      </c>
      <c r="C25" s="9">
        <f>SUM(C16:C24)</f>
        <v/>
      </c>
      <c r="D25" s="9">
        <f>SUM(D16:D24)</f>
        <v/>
      </c>
      <c r="F25" s="7" t="inlineStr">
        <is>
          <t>Balance</t>
        </is>
      </c>
      <c r="G25" s="7" t="n"/>
      <c r="H25" s="9">
        <f>SUM(H16:H24)</f>
        <v/>
      </c>
      <c r="I25" s="9">
        <f>SUM(I16:I24)</f>
        <v/>
      </c>
      <c r="K25" s="7" t="inlineStr">
        <is>
          <t>Balance</t>
        </is>
      </c>
      <c r="L25" s="7" t="n"/>
      <c r="M25" s="9">
        <f>SUM(M16:M20)</f>
        <v/>
      </c>
      <c r="N25" s="9">
        <f>SUM(N16:N20)</f>
        <v/>
      </c>
      <c r="P25" s="7" t="inlineStr">
        <is>
          <t>Balance</t>
        </is>
      </c>
      <c r="Q25" s="7" t="n"/>
      <c r="R25" s="9">
        <f>SUM(R16:R24)</f>
        <v/>
      </c>
      <c r="S25" s="9">
        <f>SUM(S16:S24)</f>
        <v/>
      </c>
    </row>
  </sheetData>
  <mergeCells count="10">
    <mergeCell ref="F14:I14"/>
    <mergeCell ref="B3:D3"/>
    <mergeCell ref="B5:D5"/>
    <mergeCell ref="B14:D14"/>
    <mergeCell ref="P14:S14"/>
    <mergeCell ref="K14:N14"/>
    <mergeCell ref="F2:I2"/>
    <mergeCell ref="P7:S8"/>
    <mergeCell ref="K7:N8"/>
    <mergeCell ref="B2:D2"/>
  </mergeCells>
  <dataValidations count="1">
    <dataValidation sqref="G4:G12 G16:G25 L16:L25 Q16:Q25" showDropDown="1" showInputMessage="0" showErrorMessage="1" allowBlank="1" type="custom">
      <formula1>OR(NOT(ISERROR(DATEVALUE(G4))), AND(ISNUMBER(G4), LEFT(CELL("format", G4))="D"))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B2:S25"/>
  <sheetViews>
    <sheetView showGridLines="0" zoomScale="95" workbookViewId="0">
      <selection activeCell="D8" sqref="D8"/>
    </sheetView>
  </sheetViews>
  <sheetFormatPr baseColWidth="8" defaultColWidth="12.6640625" defaultRowHeight="15.75" customHeight="1"/>
  <cols>
    <col width="2.6640625" customWidth="1" style="53" min="1" max="1"/>
    <col width="11.33203125" customWidth="1" style="53" min="3" max="4"/>
    <col width="2.6640625" customWidth="1" style="53" min="5" max="5"/>
    <col width="14.44140625" customWidth="1" style="53" min="6" max="6"/>
    <col width="5.109375" customWidth="1" style="53" min="7" max="7"/>
    <col width="11.33203125" customWidth="1" style="53" min="8" max="9"/>
    <col width="2.6640625" customWidth="1" style="53" min="10" max="10"/>
    <col width="14.44140625" customWidth="1" style="53" min="11" max="11"/>
    <col width="5.109375" customWidth="1" style="53" min="12" max="12"/>
    <col width="11.33203125" customWidth="1" style="53" min="13" max="14"/>
    <col width="2.6640625" customWidth="1" style="53" min="15" max="15"/>
    <col width="14.44140625" customWidth="1" style="53" min="16" max="16"/>
    <col width="5.109375" customWidth="1" style="53" min="17" max="17"/>
    <col width="11.33203125" customWidth="1" style="53" min="18" max="19"/>
  </cols>
  <sheetData>
    <row r="2" ht="15.75" customHeight="1" s="53">
      <c r="B2" s="71" t="inlineStr">
        <is>
          <t>June</t>
        </is>
      </c>
      <c r="E2" s="1" t="n"/>
      <c r="F2" s="66" t="inlineStr">
        <is>
          <t>Income</t>
        </is>
      </c>
      <c r="K2" s="25" t="n"/>
      <c r="L2" s="26" t="n"/>
      <c r="M2" s="26" t="n"/>
      <c r="N2" s="27" t="n"/>
      <c r="P2" s="25" t="n"/>
      <c r="Q2" s="26" t="n"/>
      <c r="R2" s="26" t="n"/>
      <c r="S2" s="27" t="n"/>
    </row>
    <row r="3" ht="13.2" customHeight="1" s="53">
      <c r="B3" s="61" t="inlineStr">
        <is>
          <t>Monthly Budget</t>
        </is>
      </c>
      <c r="F3" s="2" t="n"/>
      <c r="G3" s="3" t="inlineStr">
        <is>
          <t xml:space="preserve">Date </t>
        </is>
      </c>
      <c r="H3" s="4" t="inlineStr">
        <is>
          <t xml:space="preserve">Budget </t>
        </is>
      </c>
      <c r="I3" s="4" t="inlineStr">
        <is>
          <t>Actual</t>
        </is>
      </c>
      <c r="K3" s="28" t="n"/>
      <c r="N3" s="29" t="n"/>
      <c r="P3" s="28" t="n"/>
      <c r="S3" s="29" t="n"/>
    </row>
    <row r="4" ht="13.2" customHeight="1" s="53">
      <c r="B4" s="5" t="n"/>
      <c r="C4" s="5" t="n"/>
      <c r="D4" s="5" t="n"/>
      <c r="E4" s="6" t="n"/>
      <c r="F4" s="7" t="inlineStr">
        <is>
          <t xml:space="preserve">Pay Check </t>
        </is>
      </c>
      <c r="G4" s="8" t="n"/>
      <c r="H4" s="9" t="n">
        <v>65000</v>
      </c>
      <c r="I4" s="9" t="n">
        <v>65000</v>
      </c>
      <c r="K4" s="28" t="n"/>
      <c r="N4" s="29" t="n"/>
      <c r="P4" s="28" t="n"/>
      <c r="S4" s="29" t="n"/>
    </row>
    <row r="5" ht="13.2" customHeight="1" s="53">
      <c r="B5" s="62" t="inlineStr">
        <is>
          <t xml:space="preserve">Cash Flow </t>
        </is>
      </c>
      <c r="E5" s="6" t="n"/>
      <c r="F5" s="7" t="inlineStr">
        <is>
          <t>Other Income</t>
        </is>
      </c>
      <c r="G5" s="8" t="n"/>
      <c r="H5" s="9" t="n">
        <v>3000</v>
      </c>
      <c r="I5" s="9" t="n">
        <v>6250</v>
      </c>
      <c r="K5" s="28" t="n"/>
      <c r="N5" s="29" t="n"/>
      <c r="P5" s="28" t="n"/>
      <c r="S5" s="29" t="n"/>
    </row>
    <row r="6" ht="13.2" customHeight="1" s="53">
      <c r="B6" s="10" t="n"/>
      <c r="C6" s="11" t="inlineStr">
        <is>
          <t xml:space="preserve">Budget </t>
        </is>
      </c>
      <c r="D6" s="11" t="inlineStr">
        <is>
          <t>Actual</t>
        </is>
      </c>
      <c r="E6" s="6" t="n"/>
      <c r="F6" s="7" t="n"/>
      <c r="G6" s="8" t="n"/>
      <c r="H6" s="9" t="n"/>
      <c r="I6" s="9" t="n"/>
      <c r="K6" s="28" t="n"/>
      <c r="N6" s="29" t="n"/>
      <c r="P6" s="28" t="n"/>
      <c r="S6" s="29" t="n"/>
    </row>
    <row r="7" ht="13.2" customHeight="1" s="53">
      <c r="B7" s="7" t="inlineStr">
        <is>
          <t xml:space="preserve">Start Balance </t>
        </is>
      </c>
      <c r="C7" s="9" t="n">
        <v>8000</v>
      </c>
      <c r="D7" s="9" t="n">
        <v>10000</v>
      </c>
      <c r="F7" s="7" t="n"/>
      <c r="G7" s="8" t="n"/>
      <c r="H7" s="9" t="n"/>
      <c r="I7" s="9" t="n"/>
      <c r="K7" s="67">
        <f>C12</f>
        <v/>
      </c>
      <c r="N7" s="68" t="n"/>
      <c r="P7" s="67">
        <f>D12</f>
        <v/>
      </c>
      <c r="S7" s="68" t="n"/>
    </row>
    <row r="8" ht="13.2" customHeight="1" s="53">
      <c r="B8" s="7" t="inlineStr">
        <is>
          <t>Income</t>
        </is>
      </c>
      <c r="C8" s="9" t="n">
        <v>68000</v>
      </c>
      <c r="D8" s="9" t="n">
        <v>71250</v>
      </c>
      <c r="F8" s="7" t="n"/>
      <c r="G8" s="8" t="n"/>
      <c r="H8" s="9" t="n"/>
      <c r="I8" s="9" t="n"/>
      <c r="K8" s="69" t="n"/>
      <c r="N8" s="68" t="n"/>
      <c r="P8" s="69" t="n"/>
      <c r="S8" s="68" t="n"/>
    </row>
    <row r="9" ht="13.2" customHeight="1" s="53">
      <c r="B9" s="7" t="inlineStr">
        <is>
          <t>Expense</t>
        </is>
      </c>
      <c r="C9" s="9" t="n">
        <v>18500</v>
      </c>
      <c r="D9" s="9" t="n">
        <v>19350</v>
      </c>
      <c r="F9" s="7" t="n"/>
      <c r="G9" s="8" t="n"/>
      <c r="H9" s="9" t="n"/>
      <c r="I9" s="9" t="n"/>
      <c r="K9" s="28" t="n"/>
      <c r="N9" s="29" t="n"/>
      <c r="P9" s="28" t="n"/>
      <c r="S9" s="29" t="n"/>
    </row>
    <row r="10" ht="13.2" customHeight="1" s="53">
      <c r="B10" s="7" t="inlineStr">
        <is>
          <t xml:space="preserve">Debt </t>
        </is>
      </c>
      <c r="C10" s="9" t="n">
        <v>7000</v>
      </c>
      <c r="D10" s="9" t="n">
        <v>7000</v>
      </c>
      <c r="F10" s="7" t="n"/>
      <c r="G10" s="8" t="n"/>
      <c r="H10" s="9" t="n"/>
      <c r="I10" s="9" t="n"/>
      <c r="K10" s="28" t="n"/>
      <c r="N10" s="29" t="n"/>
      <c r="P10" s="28" t="n"/>
      <c r="S10" s="29" t="n"/>
    </row>
    <row r="11" ht="13.2" customHeight="1" s="53">
      <c r="B11" s="7" t="inlineStr">
        <is>
          <t>Savings</t>
        </is>
      </c>
      <c r="C11" s="9" t="n">
        <v>12000</v>
      </c>
      <c r="D11" s="9" t="n">
        <v>13500</v>
      </c>
      <c r="F11" s="7" t="n"/>
      <c r="G11" s="8" t="n"/>
      <c r="H11" s="9" t="n"/>
      <c r="I11" s="9" t="n"/>
      <c r="K11" s="28" t="n"/>
      <c r="N11" s="29" t="n"/>
      <c r="P11" s="28" t="n"/>
      <c r="S11" s="29" t="n"/>
    </row>
    <row r="12" ht="13.2" customHeight="1" s="53">
      <c r="B12" s="7" t="inlineStr">
        <is>
          <t>Balance</t>
        </is>
      </c>
      <c r="C12" s="9">
        <f>C7+C8-C9-C10-C11</f>
        <v/>
      </c>
      <c r="D12" s="9">
        <f>D7+D8-D9-D10-D11</f>
        <v/>
      </c>
      <c r="F12" s="7" t="inlineStr">
        <is>
          <t>Balance</t>
        </is>
      </c>
      <c r="G12" s="8" t="n"/>
      <c r="H12" s="9">
        <f>SUM(H4:H11)</f>
        <v/>
      </c>
      <c r="I12" s="9">
        <f>SUM(I4:I11)</f>
        <v/>
      </c>
      <c r="K12" s="30" t="n"/>
      <c r="L12" s="31" t="n"/>
      <c r="M12" s="31" t="n"/>
      <c r="N12" s="32" t="n"/>
      <c r="P12" s="30" t="n"/>
      <c r="Q12" s="31" t="n"/>
      <c r="R12" s="31" t="n"/>
      <c r="S12" s="32" t="n"/>
    </row>
    <row r="13" ht="13.2" customHeight="1" s="53">
      <c r="B13" s="12" t="inlineStr">
        <is>
          <t>Spent</t>
        </is>
      </c>
      <c r="C13" s="13">
        <f>SUM(C9:C12)</f>
        <v/>
      </c>
      <c r="D13" s="13">
        <f>SUM(D9:D12)</f>
        <v/>
      </c>
    </row>
    <row r="14" ht="13.2" customHeight="1" s="53">
      <c r="B14" s="65" t="inlineStr">
        <is>
          <t>Savings &amp; Investments</t>
        </is>
      </c>
      <c r="E14" s="5" t="n"/>
      <c r="F14" s="60" t="inlineStr">
        <is>
          <t>Expenses</t>
        </is>
      </c>
      <c r="K14" s="63" t="inlineStr">
        <is>
          <t xml:space="preserve">Bills </t>
        </is>
      </c>
      <c r="P14" s="64" t="inlineStr">
        <is>
          <t xml:space="preserve">Debts </t>
        </is>
      </c>
    </row>
    <row r="15" ht="13.2" customHeight="1" s="53">
      <c r="B15" s="14" t="n"/>
      <c r="C15" s="15" t="inlineStr">
        <is>
          <t xml:space="preserve">Budget </t>
        </is>
      </c>
      <c r="D15" s="15" t="inlineStr">
        <is>
          <t>Actual</t>
        </is>
      </c>
      <c r="F15" s="16" t="n"/>
      <c r="G15" s="17" t="inlineStr">
        <is>
          <t>Date</t>
        </is>
      </c>
      <c r="H15" s="17" t="inlineStr">
        <is>
          <t>Budget</t>
        </is>
      </c>
      <c r="I15" s="17" t="inlineStr">
        <is>
          <t>Actual</t>
        </is>
      </c>
      <c r="K15" s="18" t="n"/>
      <c r="L15" s="19" t="inlineStr">
        <is>
          <t xml:space="preserve">Date </t>
        </is>
      </c>
      <c r="M15" s="19" t="inlineStr">
        <is>
          <t xml:space="preserve">Budget </t>
        </is>
      </c>
      <c r="N15" s="19" t="inlineStr">
        <is>
          <t xml:space="preserve">Actual </t>
        </is>
      </c>
      <c r="P15" s="20" t="n"/>
      <c r="Q15" s="21" t="inlineStr">
        <is>
          <t xml:space="preserve">Date </t>
        </is>
      </c>
      <c r="R15" s="21" t="inlineStr">
        <is>
          <t xml:space="preserve">Budget </t>
        </is>
      </c>
      <c r="S15" s="21" t="inlineStr">
        <is>
          <t xml:space="preserve">Actual </t>
        </is>
      </c>
    </row>
    <row r="16" ht="13.2" customHeight="1" s="53">
      <c r="B16" s="7" t="inlineStr">
        <is>
          <t>Emergency</t>
        </is>
      </c>
      <c r="C16" s="22" t="n">
        <v>5000</v>
      </c>
      <c r="D16" s="22" t="n">
        <v>5000</v>
      </c>
      <c r="E16" s="6" t="n"/>
      <c r="F16" s="7" t="inlineStr">
        <is>
          <t xml:space="preserve">Bus </t>
        </is>
      </c>
      <c r="G16" s="23" t="n"/>
      <c r="H16" s="9" t="n">
        <v>1500</v>
      </c>
      <c r="I16" s="9" t="n">
        <v>1350</v>
      </c>
      <c r="K16" s="7" t="inlineStr">
        <is>
          <t xml:space="preserve">Rent </t>
        </is>
      </c>
      <c r="L16" s="7" t="n"/>
      <c r="M16" s="9" t="n">
        <v>15000</v>
      </c>
      <c r="N16" s="9" t="n">
        <v>15000</v>
      </c>
      <c r="P16" s="7" t="inlineStr">
        <is>
          <t xml:space="preserve">Visa Card </t>
        </is>
      </c>
      <c r="Q16" s="7" t="n"/>
      <c r="R16" s="9" t="n">
        <v>2500</v>
      </c>
      <c r="S16" s="9" t="n">
        <v>2500</v>
      </c>
    </row>
    <row r="17" ht="13.2" customHeight="1" s="53">
      <c r="B17" s="7" t="inlineStr">
        <is>
          <t xml:space="preserve">Vacation </t>
        </is>
      </c>
      <c r="C17" s="22" t="n">
        <v>2000</v>
      </c>
      <c r="D17" s="22" t="n">
        <v>1500</v>
      </c>
      <c r="E17" s="6" t="n"/>
      <c r="F17" s="7" t="inlineStr">
        <is>
          <t>Uber/Rapido</t>
        </is>
      </c>
      <c r="G17" s="7" t="n"/>
      <c r="H17" s="9" t="n">
        <v>2500</v>
      </c>
      <c r="I17" s="9" t="n">
        <v>2900</v>
      </c>
      <c r="K17" s="7" t="inlineStr">
        <is>
          <t>Electricity</t>
        </is>
      </c>
      <c r="L17" s="7" t="n"/>
      <c r="M17" s="9" t="n">
        <v>2000</v>
      </c>
      <c r="N17" s="9" t="n">
        <v>2250</v>
      </c>
      <c r="P17" s="7" t="inlineStr">
        <is>
          <t>Mastercaard</t>
        </is>
      </c>
      <c r="Q17" s="7" t="n"/>
      <c r="R17" s="9" t="n">
        <v>2000</v>
      </c>
      <c r="S17" s="9" t="n">
        <v>2000</v>
      </c>
    </row>
    <row r="18" ht="13.2" customHeight="1" s="53">
      <c r="B18" s="7" t="inlineStr">
        <is>
          <t xml:space="preserve">Other </t>
        </is>
      </c>
      <c r="C18" s="22" t="n">
        <v>1000</v>
      </c>
      <c r="D18" s="22" t="n">
        <v>800</v>
      </c>
      <c r="E18" s="6" t="n"/>
      <c r="F18" s="7" t="inlineStr">
        <is>
          <t>Dining Out</t>
        </is>
      </c>
      <c r="G18" s="7" t="n"/>
      <c r="H18" s="9" t="n">
        <v>3500</v>
      </c>
      <c r="I18" s="9" t="n">
        <v>4100</v>
      </c>
      <c r="K18" s="7" t="inlineStr">
        <is>
          <t>Cell Phone</t>
        </is>
      </c>
      <c r="L18" s="7" t="n"/>
      <c r="M18" s="9" t="n">
        <v>800</v>
      </c>
      <c r="N18" s="9" t="n">
        <v>799</v>
      </c>
      <c r="P18" s="7" t="inlineStr">
        <is>
          <t>Personal Loan</t>
        </is>
      </c>
      <c r="Q18" s="7" t="n"/>
      <c r="R18" s="9" t="n">
        <v>2500</v>
      </c>
      <c r="S18" s="9" t="n">
        <v>2500</v>
      </c>
    </row>
    <row r="19" ht="13.2" customHeight="1" s="53">
      <c r="B19" s="7" t="inlineStr">
        <is>
          <t>Investment</t>
        </is>
      </c>
      <c r="C19" s="22" t="n">
        <v>4000</v>
      </c>
      <c r="D19" s="22" t="n">
        <v>6200</v>
      </c>
      <c r="E19" s="6" t="n"/>
      <c r="F19" s="7" t="inlineStr">
        <is>
          <t>Other Expenses</t>
        </is>
      </c>
      <c r="G19" s="24" t="n"/>
      <c r="H19" s="9" t="n">
        <v>2000</v>
      </c>
      <c r="I19" s="9" t="n">
        <v>1700</v>
      </c>
      <c r="K19" s="7" t="inlineStr">
        <is>
          <t xml:space="preserve">Internet </t>
        </is>
      </c>
      <c r="L19" s="7" t="n"/>
      <c r="M19" s="9" t="n">
        <v>1000</v>
      </c>
      <c r="N19" s="9" t="n">
        <v>999</v>
      </c>
      <c r="Q19" s="7" t="n"/>
      <c r="R19" s="9" t="n"/>
      <c r="S19" s="9" t="n"/>
    </row>
    <row r="20" ht="13.2" customHeight="1" s="53">
      <c r="C20" s="9" t="n"/>
      <c r="D20" s="9" t="n"/>
      <c r="E20" s="6" t="n"/>
      <c r="F20" s="7" t="inlineStr">
        <is>
          <t>Food Outside</t>
        </is>
      </c>
      <c r="G20" s="7" t="n"/>
      <c r="H20" s="9" t="n">
        <v>4000</v>
      </c>
      <c r="I20" s="9" t="n">
        <v>4350</v>
      </c>
      <c r="K20" s="7" t="inlineStr">
        <is>
          <t>Bus Pass</t>
        </is>
      </c>
      <c r="L20" s="7" t="n"/>
      <c r="M20" s="9" t="n">
        <v>1200</v>
      </c>
      <c r="N20" s="9" t="n">
        <v>1200</v>
      </c>
      <c r="P20" s="7" t="n"/>
      <c r="Q20" s="7" t="n"/>
      <c r="R20" s="9" t="n"/>
      <c r="S20" s="9" t="n"/>
    </row>
    <row r="21" ht="13.2" customHeight="1" s="53">
      <c r="B21" s="7" t="n"/>
      <c r="C21" s="9" t="n"/>
      <c r="D21" s="9" t="n"/>
      <c r="F21" s="7" t="inlineStr">
        <is>
          <t>Food Order</t>
        </is>
      </c>
      <c r="G21" s="23" t="n"/>
      <c r="H21" s="9" t="n">
        <v>5000</v>
      </c>
      <c r="I21" s="9" t="n">
        <v>4950</v>
      </c>
      <c r="L21" s="7" t="n"/>
      <c r="M21" s="9" t="n"/>
      <c r="N21" s="9" t="n"/>
      <c r="P21" s="7" t="n"/>
      <c r="Q21" s="7" t="n"/>
      <c r="R21" s="9" t="n"/>
      <c r="S21" s="9" t="n"/>
    </row>
    <row r="22" ht="13.2" customHeight="1" s="53">
      <c r="B22" s="7" t="n"/>
      <c r="C22" s="9" t="n"/>
      <c r="D22" s="9" t="n"/>
      <c r="G22" s="7" t="n"/>
      <c r="H22" s="9" t="n"/>
      <c r="I22" s="9" t="n"/>
      <c r="K22" s="7" t="n"/>
      <c r="L22" s="7" t="n"/>
      <c r="M22" s="9" t="n"/>
      <c r="N22" s="9" t="n"/>
      <c r="P22" s="7" t="n"/>
      <c r="Q22" s="7" t="n"/>
      <c r="R22" s="9" t="n"/>
      <c r="S22" s="9" t="n"/>
    </row>
    <row r="23" ht="13.2" customHeight="1" s="53">
      <c r="B23" s="7" t="n"/>
      <c r="C23" s="9" t="n"/>
      <c r="D23" s="9" t="n"/>
      <c r="F23" s="7" t="n"/>
      <c r="G23" s="7" t="n"/>
      <c r="H23" s="9" t="n"/>
      <c r="I23" s="9" t="n"/>
      <c r="K23" s="7" t="n"/>
      <c r="L23" s="7" t="n"/>
      <c r="M23" s="9" t="n"/>
      <c r="N23" s="9" t="n"/>
      <c r="P23" s="7" t="n"/>
      <c r="Q23" s="7" t="n"/>
      <c r="R23" s="9" t="n"/>
      <c r="S23" s="9" t="n"/>
    </row>
    <row r="24" ht="13.2" customHeight="1" s="53">
      <c r="B24" s="7" t="n"/>
      <c r="C24" s="9" t="n"/>
      <c r="D24" s="9" t="n"/>
      <c r="F24" s="7" t="n"/>
      <c r="G24" s="7" t="n"/>
      <c r="H24" s="9" t="n"/>
      <c r="I24" s="9" t="n"/>
      <c r="K24" s="7" t="n"/>
      <c r="L24" s="7" t="n"/>
      <c r="M24" s="9" t="n"/>
      <c r="N24" s="9" t="n"/>
      <c r="P24" s="7" t="n"/>
      <c r="Q24" s="7" t="n"/>
      <c r="R24" s="9" t="n"/>
      <c r="S24" s="9" t="n"/>
    </row>
    <row r="25" ht="13.2" customHeight="1" s="53">
      <c r="B25" s="7" t="inlineStr">
        <is>
          <t>Balance</t>
        </is>
      </c>
      <c r="C25" s="9">
        <f>SUM(C16:C24)</f>
        <v/>
      </c>
      <c r="D25" s="9">
        <f>SUM(D16:D24)</f>
        <v/>
      </c>
      <c r="F25" s="7" t="inlineStr">
        <is>
          <t>Balance</t>
        </is>
      </c>
      <c r="G25" s="7" t="n"/>
      <c r="H25" s="9">
        <f>SUM(H16:H24)</f>
        <v/>
      </c>
      <c r="I25" s="9">
        <f>SUM(I16:I24)</f>
        <v/>
      </c>
      <c r="K25" s="7" t="inlineStr">
        <is>
          <t>Balance</t>
        </is>
      </c>
      <c r="L25" s="7" t="n"/>
      <c r="M25" s="9">
        <f>SUM(M16:M20)</f>
        <v/>
      </c>
      <c r="N25" s="9">
        <f>SUM(N16:N20)</f>
        <v/>
      </c>
      <c r="P25" s="7" t="inlineStr">
        <is>
          <t>Balance</t>
        </is>
      </c>
      <c r="Q25" s="7" t="n"/>
      <c r="R25" s="9">
        <f>SUM(R16:R24)</f>
        <v/>
      </c>
      <c r="S25" s="9">
        <f>SUM(S16:S24)</f>
        <v/>
      </c>
    </row>
  </sheetData>
  <mergeCells count="10">
    <mergeCell ref="F14:I14"/>
    <mergeCell ref="B3:D3"/>
    <mergeCell ref="B5:D5"/>
    <mergeCell ref="B14:D14"/>
    <mergeCell ref="P14:S14"/>
    <mergeCell ref="K14:N14"/>
    <mergeCell ref="F2:I2"/>
    <mergeCell ref="P7:S8"/>
    <mergeCell ref="K7:N8"/>
    <mergeCell ref="B2:D2"/>
  </mergeCells>
  <dataValidations count="1">
    <dataValidation sqref="G4:G12 G16:G25 L16:L25 Q16:Q25" showDropDown="1" showInputMessage="0" showErrorMessage="1" allowBlank="1" type="custom">
      <formula1>OR(NOT(ISERROR(DATEVALUE(G4))), AND(ISNUMBER(G4), LEFT(CELL("format", G4))="D"))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B2:S25"/>
  <sheetViews>
    <sheetView showGridLines="0" zoomScale="95" workbookViewId="0">
      <selection activeCell="D8" sqref="D8"/>
    </sheetView>
  </sheetViews>
  <sheetFormatPr baseColWidth="8" defaultColWidth="12.6640625" defaultRowHeight="15.75" customHeight="1"/>
  <cols>
    <col width="2.6640625" customWidth="1" style="53" min="1" max="1"/>
    <col width="11.33203125" customWidth="1" style="53" min="3" max="4"/>
    <col width="2.6640625" customWidth="1" style="53" min="5" max="5"/>
    <col width="14.44140625" customWidth="1" style="53" min="6" max="6"/>
    <col width="5.109375" customWidth="1" style="53" min="7" max="7"/>
    <col width="11.33203125" customWidth="1" style="53" min="8" max="9"/>
    <col width="2.6640625" customWidth="1" style="53" min="10" max="10"/>
    <col width="14.44140625" customWidth="1" style="53" min="11" max="11"/>
    <col width="5.109375" customWidth="1" style="53" min="12" max="12"/>
    <col width="11.33203125" customWidth="1" style="53" min="13" max="14"/>
    <col width="2.6640625" customWidth="1" style="53" min="15" max="15"/>
    <col width="14.44140625" customWidth="1" style="53" min="16" max="16"/>
    <col width="5.109375" customWidth="1" style="53" min="17" max="17"/>
    <col width="11.33203125" customWidth="1" style="53" min="18" max="19"/>
  </cols>
  <sheetData>
    <row r="2" ht="15.75" customHeight="1" s="53">
      <c r="B2" s="71" t="inlineStr">
        <is>
          <t>July</t>
        </is>
      </c>
      <c r="E2" s="1" t="n"/>
      <c r="F2" s="66" t="inlineStr">
        <is>
          <t>Income</t>
        </is>
      </c>
      <c r="K2" s="25" t="n"/>
      <c r="L2" s="26" t="n"/>
      <c r="M2" s="26" t="n"/>
      <c r="N2" s="27" t="n"/>
      <c r="P2" s="25" t="n"/>
      <c r="Q2" s="26" t="n"/>
      <c r="R2" s="26" t="n"/>
      <c r="S2" s="27" t="n"/>
    </row>
    <row r="3" ht="13.2" customHeight="1" s="53">
      <c r="B3" s="61" t="inlineStr">
        <is>
          <t>Monthly Budget</t>
        </is>
      </c>
      <c r="F3" s="2" t="n"/>
      <c r="G3" s="3" t="inlineStr">
        <is>
          <t xml:space="preserve">Date </t>
        </is>
      </c>
      <c r="H3" s="4" t="inlineStr">
        <is>
          <t xml:space="preserve">Budget </t>
        </is>
      </c>
      <c r="I3" s="4" t="inlineStr">
        <is>
          <t>Actual</t>
        </is>
      </c>
      <c r="K3" s="28" t="n"/>
      <c r="N3" s="29" t="n"/>
      <c r="P3" s="28" t="n"/>
      <c r="S3" s="29" t="n"/>
    </row>
    <row r="4" ht="13.2" customHeight="1" s="53">
      <c r="B4" s="5" t="n"/>
      <c r="C4" s="5" t="n"/>
      <c r="D4" s="5" t="n"/>
      <c r="E4" s="6" t="n"/>
      <c r="F4" s="7" t="inlineStr">
        <is>
          <t xml:space="preserve">Pay Check </t>
        </is>
      </c>
      <c r="G4" s="8" t="n"/>
      <c r="H4" s="9" t="n">
        <v>65000</v>
      </c>
      <c r="I4" s="9" t="n">
        <v>65000</v>
      </c>
      <c r="K4" s="28" t="n"/>
      <c r="N4" s="29" t="n"/>
      <c r="P4" s="28" t="n"/>
      <c r="S4" s="29" t="n"/>
    </row>
    <row r="5" ht="13.2" customHeight="1" s="53">
      <c r="B5" s="62" t="inlineStr">
        <is>
          <t xml:space="preserve">Cash Flow </t>
        </is>
      </c>
      <c r="E5" s="6" t="n"/>
      <c r="F5" s="7" t="inlineStr">
        <is>
          <t>Other Income</t>
        </is>
      </c>
      <c r="G5" s="8" t="n"/>
      <c r="H5" s="9" t="n">
        <v>3000</v>
      </c>
      <c r="I5" s="9" t="n">
        <v>6250</v>
      </c>
      <c r="K5" s="28" t="n"/>
      <c r="N5" s="29" t="n"/>
      <c r="P5" s="28" t="n"/>
      <c r="S5" s="29" t="n"/>
    </row>
    <row r="6" ht="13.2" customHeight="1" s="53">
      <c r="B6" s="10" t="n"/>
      <c r="C6" s="11" t="inlineStr">
        <is>
          <t xml:space="preserve">Budget </t>
        </is>
      </c>
      <c r="D6" s="11" t="inlineStr">
        <is>
          <t>Actual</t>
        </is>
      </c>
      <c r="E6" s="6" t="n"/>
      <c r="F6" s="7" t="n"/>
      <c r="G6" s="8" t="n"/>
      <c r="H6" s="9" t="n"/>
      <c r="I6" s="9" t="n"/>
      <c r="K6" s="28" t="n"/>
      <c r="N6" s="29" t="n"/>
      <c r="P6" s="28" t="n"/>
      <c r="S6" s="29" t="n"/>
    </row>
    <row r="7" ht="13.2" customHeight="1" s="53">
      <c r="B7" s="7" t="inlineStr">
        <is>
          <t xml:space="preserve">Start Balance </t>
        </is>
      </c>
      <c r="C7" s="9" t="n">
        <v>8000</v>
      </c>
      <c r="D7" s="9" t="n">
        <v>12000</v>
      </c>
      <c r="F7" s="7" t="n"/>
      <c r="G7" s="8" t="n"/>
      <c r="H7" s="9" t="n"/>
      <c r="I7" s="9" t="n"/>
      <c r="K7" s="67">
        <f>C12</f>
        <v/>
      </c>
      <c r="N7" s="68" t="n"/>
      <c r="P7" s="67">
        <f>D12</f>
        <v/>
      </c>
      <c r="S7" s="68" t="n"/>
    </row>
    <row r="8" ht="13.2" customHeight="1" s="53">
      <c r="B8" s="7" t="inlineStr">
        <is>
          <t>Income</t>
        </is>
      </c>
      <c r="C8" s="9" t="n">
        <v>68000</v>
      </c>
      <c r="D8" s="9" t="n">
        <v>71250</v>
      </c>
      <c r="F8" s="7" t="n"/>
      <c r="G8" s="8" t="n"/>
      <c r="H8" s="9" t="n"/>
      <c r="I8" s="9" t="n"/>
      <c r="K8" s="69" t="n"/>
      <c r="N8" s="68" t="n"/>
      <c r="P8" s="69" t="n"/>
      <c r="S8" s="68" t="n"/>
    </row>
    <row r="9" ht="13.2" customHeight="1" s="53">
      <c r="B9" s="7" t="inlineStr">
        <is>
          <t>Expense</t>
        </is>
      </c>
      <c r="C9" s="9" t="n">
        <v>18500</v>
      </c>
      <c r="D9" s="9" t="n">
        <v>19350</v>
      </c>
      <c r="F9" s="7" t="n"/>
      <c r="G9" s="8" t="n"/>
      <c r="H9" s="9" t="n"/>
      <c r="I9" s="9" t="n"/>
      <c r="K9" s="28" t="n"/>
      <c r="N9" s="29" t="n"/>
      <c r="P9" s="28" t="n"/>
      <c r="S9" s="29" t="n"/>
    </row>
    <row r="10" ht="13.2" customHeight="1" s="53">
      <c r="B10" s="7" t="inlineStr">
        <is>
          <t xml:space="preserve">Debt </t>
        </is>
      </c>
      <c r="C10" s="9" t="n">
        <v>7000</v>
      </c>
      <c r="D10" s="9" t="n">
        <v>7000</v>
      </c>
      <c r="F10" s="7" t="n"/>
      <c r="G10" s="8" t="n"/>
      <c r="H10" s="9" t="n"/>
      <c r="I10" s="9" t="n"/>
      <c r="K10" s="28" t="n"/>
      <c r="N10" s="29" t="n"/>
      <c r="P10" s="28" t="n"/>
      <c r="S10" s="29" t="n"/>
    </row>
    <row r="11" ht="13.2" customHeight="1" s="53">
      <c r="B11" s="7" t="inlineStr">
        <is>
          <t>Savings</t>
        </is>
      </c>
      <c r="C11" s="9" t="n">
        <v>12000</v>
      </c>
      <c r="D11" s="9" t="n">
        <v>13500</v>
      </c>
      <c r="F11" s="7" t="n"/>
      <c r="G11" s="8" t="n"/>
      <c r="H11" s="9" t="n"/>
      <c r="I11" s="9" t="n"/>
      <c r="K11" s="28" t="n"/>
      <c r="N11" s="29" t="n"/>
      <c r="P11" s="28" t="n"/>
      <c r="S11" s="29" t="n"/>
    </row>
    <row r="12" ht="13.2" customHeight="1" s="53">
      <c r="B12" s="7" t="inlineStr">
        <is>
          <t>Balance</t>
        </is>
      </c>
      <c r="C12" s="9">
        <f>C7+C8-C9-C10-C11</f>
        <v/>
      </c>
      <c r="D12" s="9">
        <f>D7+D8-D9-D10-D11</f>
        <v/>
      </c>
      <c r="F12" s="7" t="inlineStr">
        <is>
          <t>Balance</t>
        </is>
      </c>
      <c r="G12" s="8" t="n"/>
      <c r="H12" s="9">
        <f>SUM(H4:H11)</f>
        <v/>
      </c>
      <c r="I12" s="9">
        <f>SUM(I4:I11)</f>
        <v/>
      </c>
      <c r="K12" s="30" t="n"/>
      <c r="L12" s="31" t="n"/>
      <c r="M12" s="31" t="n"/>
      <c r="N12" s="32" t="n"/>
      <c r="P12" s="30" t="n"/>
      <c r="Q12" s="31" t="n"/>
      <c r="R12" s="31" t="n"/>
      <c r="S12" s="32" t="n"/>
    </row>
    <row r="13" ht="13.2" customHeight="1" s="53">
      <c r="B13" s="12" t="inlineStr">
        <is>
          <t>Spent</t>
        </is>
      </c>
      <c r="C13" s="13">
        <f>SUM(C9:C12)</f>
        <v/>
      </c>
      <c r="D13" s="13">
        <f>SUM(D9:D12)</f>
        <v/>
      </c>
    </row>
    <row r="14" ht="13.2" customHeight="1" s="53">
      <c r="B14" s="65" t="inlineStr">
        <is>
          <t>Savings &amp; Investments</t>
        </is>
      </c>
      <c r="E14" s="5" t="n"/>
      <c r="F14" s="60" t="inlineStr">
        <is>
          <t>Expenses</t>
        </is>
      </c>
      <c r="K14" s="63" t="inlineStr">
        <is>
          <t xml:space="preserve">Bills </t>
        </is>
      </c>
      <c r="P14" s="64" t="inlineStr">
        <is>
          <t xml:space="preserve">Debts </t>
        </is>
      </c>
    </row>
    <row r="15" ht="13.2" customHeight="1" s="53">
      <c r="B15" s="14" t="n"/>
      <c r="C15" s="15" t="inlineStr">
        <is>
          <t xml:space="preserve">Budget </t>
        </is>
      </c>
      <c r="D15" s="15" t="inlineStr">
        <is>
          <t>Actual</t>
        </is>
      </c>
      <c r="F15" s="16" t="n"/>
      <c r="G15" s="17" t="inlineStr">
        <is>
          <t>Date</t>
        </is>
      </c>
      <c r="H15" s="17" t="inlineStr">
        <is>
          <t>Budget</t>
        </is>
      </c>
      <c r="I15" s="17" t="inlineStr">
        <is>
          <t>Actual</t>
        </is>
      </c>
      <c r="K15" s="18" t="n"/>
      <c r="L15" s="19" t="inlineStr">
        <is>
          <t xml:space="preserve">Date </t>
        </is>
      </c>
      <c r="M15" s="19" t="inlineStr">
        <is>
          <t xml:space="preserve">Budget </t>
        </is>
      </c>
      <c r="N15" s="19" t="inlineStr">
        <is>
          <t xml:space="preserve">Actual </t>
        </is>
      </c>
      <c r="P15" s="20" t="n"/>
      <c r="Q15" s="21" t="inlineStr">
        <is>
          <t xml:space="preserve">Date </t>
        </is>
      </c>
      <c r="R15" s="21" t="inlineStr">
        <is>
          <t xml:space="preserve">Budget </t>
        </is>
      </c>
      <c r="S15" s="21" t="inlineStr">
        <is>
          <t xml:space="preserve">Actual </t>
        </is>
      </c>
    </row>
    <row r="16" ht="13.2" customHeight="1" s="53">
      <c r="B16" s="7" t="inlineStr">
        <is>
          <t>Emergency</t>
        </is>
      </c>
      <c r="C16" s="22" t="n">
        <v>5000</v>
      </c>
      <c r="D16" s="22" t="n">
        <v>5000</v>
      </c>
      <c r="E16" s="6" t="n"/>
      <c r="F16" s="7" t="inlineStr">
        <is>
          <t xml:space="preserve">Bus </t>
        </is>
      </c>
      <c r="G16" s="23" t="n"/>
      <c r="H16" s="9" t="n">
        <v>1500</v>
      </c>
      <c r="I16" s="9" t="n">
        <v>1350</v>
      </c>
      <c r="K16" s="7" t="inlineStr">
        <is>
          <t xml:space="preserve">Rent </t>
        </is>
      </c>
      <c r="L16" s="7" t="n"/>
      <c r="M16" s="9" t="n">
        <v>15000</v>
      </c>
      <c r="N16" s="9" t="n">
        <v>15000</v>
      </c>
      <c r="P16" s="7" t="inlineStr">
        <is>
          <t xml:space="preserve">Visa Card </t>
        </is>
      </c>
      <c r="Q16" s="7" t="n"/>
      <c r="R16" s="9" t="n">
        <v>2500</v>
      </c>
      <c r="S16" s="9" t="n">
        <v>2500</v>
      </c>
    </row>
    <row r="17" ht="13.2" customHeight="1" s="53">
      <c r="B17" s="7" t="inlineStr">
        <is>
          <t xml:space="preserve">Vacation </t>
        </is>
      </c>
      <c r="C17" s="22" t="n">
        <v>2000</v>
      </c>
      <c r="D17" s="22" t="n">
        <v>1500</v>
      </c>
      <c r="E17" s="6" t="n"/>
      <c r="F17" s="7" t="inlineStr">
        <is>
          <t>Uber/Rapido</t>
        </is>
      </c>
      <c r="G17" s="7" t="n"/>
      <c r="H17" s="9" t="n">
        <v>2500</v>
      </c>
      <c r="I17" s="9" t="n">
        <v>2900</v>
      </c>
      <c r="K17" s="7" t="inlineStr">
        <is>
          <t>Electricity</t>
        </is>
      </c>
      <c r="L17" s="7" t="n"/>
      <c r="M17" s="9" t="n">
        <v>2000</v>
      </c>
      <c r="N17" s="9" t="n">
        <v>2250</v>
      </c>
      <c r="P17" s="7" t="inlineStr">
        <is>
          <t>Mastercaard</t>
        </is>
      </c>
      <c r="Q17" s="7" t="n"/>
      <c r="R17" s="9" t="n">
        <v>2000</v>
      </c>
      <c r="S17" s="9" t="n">
        <v>2000</v>
      </c>
    </row>
    <row r="18" ht="13.2" customHeight="1" s="53">
      <c r="B18" s="7" t="inlineStr">
        <is>
          <t xml:space="preserve">Other </t>
        </is>
      </c>
      <c r="C18" s="22" t="n">
        <v>1000</v>
      </c>
      <c r="D18" s="22" t="n">
        <v>800</v>
      </c>
      <c r="E18" s="6" t="n"/>
      <c r="F18" s="7" t="inlineStr">
        <is>
          <t>Dining Out</t>
        </is>
      </c>
      <c r="G18" s="7" t="n"/>
      <c r="H18" s="9" t="n">
        <v>3500</v>
      </c>
      <c r="I18" s="9" t="n">
        <v>4100</v>
      </c>
      <c r="K18" s="7" t="inlineStr">
        <is>
          <t>Cell Phone</t>
        </is>
      </c>
      <c r="L18" s="7" t="n"/>
      <c r="M18" s="9" t="n">
        <v>800</v>
      </c>
      <c r="N18" s="9" t="n">
        <v>799</v>
      </c>
      <c r="P18" s="7" t="inlineStr">
        <is>
          <t>Personal Loan</t>
        </is>
      </c>
      <c r="Q18" s="7" t="n"/>
      <c r="R18" s="9" t="n">
        <v>2500</v>
      </c>
      <c r="S18" s="9" t="n">
        <v>2500</v>
      </c>
    </row>
    <row r="19" ht="13.2" customHeight="1" s="53">
      <c r="B19" s="7" t="inlineStr">
        <is>
          <t>Investment</t>
        </is>
      </c>
      <c r="C19" s="22" t="n">
        <v>4000</v>
      </c>
      <c r="D19" s="22" t="n">
        <v>6200</v>
      </c>
      <c r="E19" s="6" t="n"/>
      <c r="F19" s="7" t="inlineStr">
        <is>
          <t>Other Expenses</t>
        </is>
      </c>
      <c r="G19" s="24" t="n"/>
      <c r="H19" s="9" t="n">
        <v>2000</v>
      </c>
      <c r="I19" s="9" t="n">
        <v>1700</v>
      </c>
      <c r="K19" s="7" t="inlineStr">
        <is>
          <t xml:space="preserve">Internet </t>
        </is>
      </c>
      <c r="L19" s="7" t="n"/>
      <c r="M19" s="9" t="n">
        <v>1000</v>
      </c>
      <c r="N19" s="9" t="n">
        <v>999</v>
      </c>
      <c r="Q19" s="7" t="n"/>
      <c r="R19" s="9" t="n"/>
      <c r="S19" s="9" t="n"/>
    </row>
    <row r="20" ht="13.2" customHeight="1" s="53">
      <c r="C20" s="9" t="n"/>
      <c r="D20" s="9" t="n"/>
      <c r="E20" s="6" t="n"/>
      <c r="F20" s="7" t="inlineStr">
        <is>
          <t>Food Outside</t>
        </is>
      </c>
      <c r="G20" s="7" t="n"/>
      <c r="H20" s="9" t="n">
        <v>4000</v>
      </c>
      <c r="I20" s="9" t="n">
        <v>4350</v>
      </c>
      <c r="K20" s="7" t="inlineStr">
        <is>
          <t>Bus Pass</t>
        </is>
      </c>
      <c r="L20" s="7" t="n"/>
      <c r="M20" s="9" t="n">
        <v>1200</v>
      </c>
      <c r="N20" s="9" t="n">
        <v>1200</v>
      </c>
      <c r="P20" s="7" t="n"/>
      <c r="Q20" s="7" t="n"/>
      <c r="R20" s="9" t="n"/>
      <c r="S20" s="9" t="n"/>
    </row>
    <row r="21" ht="13.2" customHeight="1" s="53">
      <c r="B21" s="7" t="n"/>
      <c r="C21" s="9" t="n"/>
      <c r="D21" s="9" t="n"/>
      <c r="F21" s="7" t="inlineStr">
        <is>
          <t>Food Order</t>
        </is>
      </c>
      <c r="G21" s="23" t="n"/>
      <c r="H21" s="9" t="n">
        <v>5000</v>
      </c>
      <c r="I21" s="9" t="n">
        <v>4950</v>
      </c>
      <c r="L21" s="7" t="n"/>
      <c r="M21" s="9" t="n"/>
      <c r="N21" s="9" t="n"/>
      <c r="P21" s="7" t="n"/>
      <c r="Q21" s="7" t="n"/>
      <c r="R21" s="9" t="n"/>
      <c r="S21" s="9" t="n"/>
    </row>
    <row r="22" ht="13.2" customHeight="1" s="53">
      <c r="B22" s="7" t="n"/>
      <c r="C22" s="9" t="n"/>
      <c r="D22" s="9" t="n"/>
      <c r="G22" s="7" t="n"/>
      <c r="H22" s="9" t="n"/>
      <c r="I22" s="9" t="n"/>
      <c r="K22" s="7" t="n"/>
      <c r="L22" s="7" t="n"/>
      <c r="M22" s="9" t="n"/>
      <c r="N22" s="9" t="n"/>
      <c r="P22" s="7" t="n"/>
      <c r="Q22" s="7" t="n"/>
      <c r="R22" s="9" t="n"/>
      <c r="S22" s="9" t="n"/>
    </row>
    <row r="23" ht="13.2" customHeight="1" s="53">
      <c r="B23" s="7" t="n"/>
      <c r="C23" s="9" t="n"/>
      <c r="D23" s="9" t="n"/>
      <c r="F23" s="7" t="n"/>
      <c r="G23" s="7" t="n"/>
      <c r="H23" s="9" t="n"/>
      <c r="I23" s="9" t="n"/>
      <c r="K23" s="7" t="n"/>
      <c r="L23" s="7" t="n"/>
      <c r="M23" s="9" t="n"/>
      <c r="N23" s="9" t="n"/>
      <c r="P23" s="7" t="n"/>
      <c r="Q23" s="7" t="n"/>
      <c r="R23" s="9" t="n"/>
      <c r="S23" s="9" t="n"/>
    </row>
    <row r="24" ht="13.2" customHeight="1" s="53">
      <c r="B24" s="7" t="n"/>
      <c r="C24" s="9" t="n"/>
      <c r="D24" s="9" t="n"/>
      <c r="F24" s="7" t="n"/>
      <c r="G24" s="7" t="n"/>
      <c r="H24" s="9" t="n"/>
      <c r="I24" s="9" t="n"/>
      <c r="K24" s="7" t="n"/>
      <c r="L24" s="7" t="n"/>
      <c r="M24" s="9" t="n"/>
      <c r="N24" s="9" t="n"/>
      <c r="P24" s="7" t="n"/>
      <c r="Q24" s="7" t="n"/>
      <c r="R24" s="9" t="n"/>
      <c r="S24" s="9" t="n"/>
    </row>
    <row r="25" ht="13.2" customHeight="1" s="53">
      <c r="B25" s="7" t="inlineStr">
        <is>
          <t>Balance</t>
        </is>
      </c>
      <c r="C25" s="9">
        <f>SUM(C16:C24)</f>
        <v/>
      </c>
      <c r="D25" s="9">
        <f>SUM(D16:D24)</f>
        <v/>
      </c>
      <c r="F25" s="7" t="inlineStr">
        <is>
          <t>Balance</t>
        </is>
      </c>
      <c r="G25" s="7" t="n"/>
      <c r="H25" s="9">
        <f>SUM(H16:H24)</f>
        <v/>
      </c>
      <c r="I25" s="9">
        <f>SUM(I16:I24)</f>
        <v/>
      </c>
      <c r="K25" s="7" t="inlineStr">
        <is>
          <t>Balance</t>
        </is>
      </c>
      <c r="L25" s="7" t="n"/>
      <c r="M25" s="9">
        <f>SUM(M16:M20)</f>
        <v/>
      </c>
      <c r="N25" s="9">
        <f>SUM(N16:N20)</f>
        <v/>
      </c>
      <c r="P25" s="7" t="inlineStr">
        <is>
          <t>Balance</t>
        </is>
      </c>
      <c r="Q25" s="7" t="n"/>
      <c r="R25" s="9">
        <f>SUM(R16:R24)</f>
        <v/>
      </c>
      <c r="S25" s="9">
        <f>SUM(S16:S24)</f>
        <v/>
      </c>
    </row>
  </sheetData>
  <mergeCells count="10">
    <mergeCell ref="F14:I14"/>
    <mergeCell ref="B3:D3"/>
    <mergeCell ref="B5:D5"/>
    <mergeCell ref="B14:D14"/>
    <mergeCell ref="P14:S14"/>
    <mergeCell ref="K14:N14"/>
    <mergeCell ref="F2:I2"/>
    <mergeCell ref="P7:S8"/>
    <mergeCell ref="K7:N8"/>
    <mergeCell ref="B2:D2"/>
  </mergeCells>
  <dataValidations count="1">
    <dataValidation sqref="G4:G12 G16:G25 L16:L25 Q16:Q25" showDropDown="1" showInputMessage="0" showErrorMessage="1" allowBlank="1" type="custom">
      <formula1>OR(NOT(ISERROR(DATEVALUE(G4))), AND(ISNUMBER(G4), LEFT(CELL("format", G4))="D"))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B2:S25"/>
  <sheetViews>
    <sheetView showGridLines="0" zoomScale="95" workbookViewId="0">
      <selection activeCell="D8" sqref="D8"/>
    </sheetView>
  </sheetViews>
  <sheetFormatPr baseColWidth="8" defaultColWidth="12.6640625" defaultRowHeight="15.75" customHeight="1"/>
  <cols>
    <col width="2.6640625" customWidth="1" style="53" min="1" max="1"/>
    <col width="11.33203125" customWidth="1" style="53" min="3" max="4"/>
    <col width="2.6640625" customWidth="1" style="53" min="5" max="5"/>
    <col width="14.44140625" customWidth="1" style="53" min="6" max="6"/>
    <col width="5.109375" customWidth="1" style="53" min="7" max="7"/>
    <col width="11.33203125" customWidth="1" style="53" min="8" max="9"/>
    <col width="2.6640625" customWidth="1" style="53" min="10" max="10"/>
    <col width="14.44140625" customWidth="1" style="53" min="11" max="11"/>
    <col width="5.109375" customWidth="1" style="53" min="12" max="12"/>
    <col width="11.33203125" customWidth="1" style="53" min="13" max="14"/>
    <col width="2.6640625" customWidth="1" style="53" min="15" max="15"/>
    <col width="14.44140625" customWidth="1" style="53" min="16" max="16"/>
    <col width="5.109375" customWidth="1" style="53" min="17" max="17"/>
    <col width="11.33203125" customWidth="1" style="53" min="18" max="19"/>
  </cols>
  <sheetData>
    <row r="2" ht="15.75" customHeight="1" s="53">
      <c r="B2" s="71" t="inlineStr">
        <is>
          <t>August</t>
        </is>
      </c>
      <c r="E2" s="1" t="n"/>
      <c r="F2" s="66" t="inlineStr">
        <is>
          <t>Income</t>
        </is>
      </c>
      <c r="K2" s="25" t="n"/>
      <c r="L2" s="26" t="n"/>
      <c r="M2" s="26" t="n"/>
      <c r="N2" s="27" t="n"/>
      <c r="P2" s="25" t="n"/>
      <c r="Q2" s="26" t="n"/>
      <c r="R2" s="26" t="n"/>
      <c r="S2" s="27" t="n"/>
    </row>
    <row r="3" ht="13.2" customHeight="1" s="53">
      <c r="B3" s="61" t="inlineStr">
        <is>
          <t>Monthly Budget</t>
        </is>
      </c>
      <c r="F3" s="2" t="n"/>
      <c r="G3" s="3" t="inlineStr">
        <is>
          <t xml:space="preserve">Date </t>
        </is>
      </c>
      <c r="H3" s="4" t="inlineStr">
        <is>
          <t xml:space="preserve">Budget </t>
        </is>
      </c>
      <c r="I3" s="4" t="inlineStr">
        <is>
          <t>Actual</t>
        </is>
      </c>
      <c r="K3" s="28" t="n"/>
      <c r="N3" s="29" t="n"/>
      <c r="P3" s="28" t="n"/>
      <c r="S3" s="29" t="n"/>
    </row>
    <row r="4" ht="13.2" customHeight="1" s="53">
      <c r="B4" s="5" t="n"/>
      <c r="C4" s="5" t="n"/>
      <c r="D4" s="5" t="n"/>
      <c r="E4" s="6" t="n"/>
      <c r="F4" s="7" t="inlineStr">
        <is>
          <t xml:space="preserve">Pay Check </t>
        </is>
      </c>
      <c r="G4" s="8" t="n"/>
      <c r="H4" s="9" t="n">
        <v>65000</v>
      </c>
      <c r="I4" s="9" t="n">
        <v>65000</v>
      </c>
      <c r="K4" s="28" t="n"/>
      <c r="N4" s="29" t="n"/>
      <c r="P4" s="28" t="n"/>
      <c r="S4" s="29" t="n"/>
    </row>
    <row r="5" ht="13.2" customHeight="1" s="53">
      <c r="B5" s="62" t="inlineStr">
        <is>
          <t xml:space="preserve">Cash Flow </t>
        </is>
      </c>
      <c r="E5" s="6" t="n"/>
      <c r="F5" s="7" t="inlineStr">
        <is>
          <t>Other Income</t>
        </is>
      </c>
      <c r="G5" s="8" t="n"/>
      <c r="H5" s="9" t="n">
        <v>3000</v>
      </c>
      <c r="I5" s="9" t="n">
        <v>6250</v>
      </c>
      <c r="K5" s="28" t="n"/>
      <c r="N5" s="29" t="n"/>
      <c r="P5" s="28" t="n"/>
      <c r="S5" s="29" t="n"/>
    </row>
    <row r="6" ht="13.2" customHeight="1" s="53">
      <c r="B6" s="10" t="n"/>
      <c r="C6" s="11" t="inlineStr">
        <is>
          <t xml:space="preserve">Budget </t>
        </is>
      </c>
      <c r="D6" s="11" t="inlineStr">
        <is>
          <t>Actual</t>
        </is>
      </c>
      <c r="E6" s="6" t="n"/>
      <c r="F6" s="7" t="n"/>
      <c r="G6" s="8" t="n"/>
      <c r="H6" s="9" t="n"/>
      <c r="I6" s="9" t="n"/>
      <c r="K6" s="28" t="n"/>
      <c r="N6" s="29" t="n"/>
      <c r="P6" s="28" t="n"/>
      <c r="S6" s="29" t="n"/>
    </row>
    <row r="7" ht="13.2" customHeight="1" s="53">
      <c r="B7" s="7" t="inlineStr">
        <is>
          <t xml:space="preserve">Start Balance </t>
        </is>
      </c>
      <c r="C7" s="9" t="n">
        <v>8000</v>
      </c>
      <c r="D7" s="9" t="n">
        <v>3000</v>
      </c>
      <c r="F7" s="7" t="n"/>
      <c r="G7" s="8" t="n"/>
      <c r="H7" s="9" t="n"/>
      <c r="I7" s="9" t="n"/>
      <c r="K7" s="67">
        <f>C12</f>
        <v/>
      </c>
      <c r="N7" s="68" t="n"/>
      <c r="P7" s="67">
        <f>D12</f>
        <v/>
      </c>
      <c r="S7" s="68" t="n"/>
    </row>
    <row r="8" ht="13.2" customHeight="1" s="53">
      <c r="B8" s="7" t="inlineStr">
        <is>
          <t>Income</t>
        </is>
      </c>
      <c r="C8" s="9" t="n">
        <v>68000</v>
      </c>
      <c r="D8" s="9" t="n">
        <v>71250</v>
      </c>
      <c r="F8" s="7" t="n"/>
      <c r="G8" s="8" t="n"/>
      <c r="H8" s="9" t="n"/>
      <c r="I8" s="9" t="n"/>
      <c r="K8" s="69" t="n"/>
      <c r="N8" s="68" t="n"/>
      <c r="P8" s="69" t="n"/>
      <c r="S8" s="68" t="n"/>
    </row>
    <row r="9" ht="13.2" customHeight="1" s="53">
      <c r="B9" s="7" t="inlineStr">
        <is>
          <t>Expense</t>
        </is>
      </c>
      <c r="C9" s="9" t="n">
        <v>18500</v>
      </c>
      <c r="D9" s="9" t="n">
        <v>19350</v>
      </c>
      <c r="F9" s="7" t="n"/>
      <c r="G9" s="8" t="n"/>
      <c r="H9" s="9" t="n"/>
      <c r="I9" s="9" t="n"/>
      <c r="K9" s="28" t="n"/>
      <c r="N9" s="29" t="n"/>
      <c r="P9" s="28" t="n"/>
      <c r="S9" s="29" t="n"/>
    </row>
    <row r="10" ht="13.2" customHeight="1" s="53">
      <c r="B10" s="7" t="inlineStr">
        <is>
          <t xml:space="preserve">Debt </t>
        </is>
      </c>
      <c r="C10" s="9" t="n">
        <v>7000</v>
      </c>
      <c r="D10" s="9" t="n">
        <v>7000</v>
      </c>
      <c r="F10" s="7" t="n"/>
      <c r="G10" s="8" t="n"/>
      <c r="H10" s="9" t="n"/>
      <c r="I10" s="9" t="n"/>
      <c r="K10" s="28" t="n"/>
      <c r="N10" s="29" t="n"/>
      <c r="P10" s="28" t="n"/>
      <c r="S10" s="29" t="n"/>
    </row>
    <row r="11" ht="13.2" customHeight="1" s="53">
      <c r="B11" s="7" t="inlineStr">
        <is>
          <t>Savings</t>
        </is>
      </c>
      <c r="C11" s="9" t="n">
        <v>12000</v>
      </c>
      <c r="D11" s="9" t="n">
        <v>13500</v>
      </c>
      <c r="F11" s="7" t="n"/>
      <c r="G11" s="8" t="n"/>
      <c r="H11" s="9" t="n"/>
      <c r="I11" s="9" t="n"/>
      <c r="K11" s="28" t="n"/>
      <c r="N11" s="29" t="n"/>
      <c r="P11" s="28" t="n"/>
      <c r="S11" s="29" t="n"/>
    </row>
    <row r="12" ht="13.2" customHeight="1" s="53">
      <c r="B12" s="7" t="inlineStr">
        <is>
          <t>Balance</t>
        </is>
      </c>
      <c r="C12" s="9">
        <f>C7+C8-C9-C10-C11</f>
        <v/>
      </c>
      <c r="D12" s="9">
        <f>D7+D8-D9-D10-D11</f>
        <v/>
      </c>
      <c r="F12" s="7" t="inlineStr">
        <is>
          <t>Balance</t>
        </is>
      </c>
      <c r="G12" s="8" t="n"/>
      <c r="H12" s="9">
        <f>SUM(H4:H11)</f>
        <v/>
      </c>
      <c r="I12" s="9">
        <f>SUM(I4:I11)</f>
        <v/>
      </c>
      <c r="K12" s="30" t="n"/>
      <c r="L12" s="31" t="n"/>
      <c r="M12" s="31" t="n"/>
      <c r="N12" s="32" t="n"/>
      <c r="P12" s="30" t="n"/>
      <c r="Q12" s="31" t="n"/>
      <c r="R12" s="31" t="n"/>
      <c r="S12" s="32" t="n"/>
    </row>
    <row r="13" ht="13.2" customHeight="1" s="53">
      <c r="B13" s="12" t="inlineStr">
        <is>
          <t>Spent</t>
        </is>
      </c>
      <c r="C13" s="13">
        <f>SUM(C9:C12)</f>
        <v/>
      </c>
      <c r="D13" s="13">
        <f>SUM(D9:D12)</f>
        <v/>
      </c>
    </row>
    <row r="14" ht="13.2" customHeight="1" s="53">
      <c r="B14" s="65" t="inlineStr">
        <is>
          <t>Savings &amp; Investments</t>
        </is>
      </c>
      <c r="E14" s="5" t="n"/>
      <c r="F14" s="60" t="inlineStr">
        <is>
          <t>Expenses</t>
        </is>
      </c>
      <c r="K14" s="63" t="inlineStr">
        <is>
          <t xml:space="preserve">Bills </t>
        </is>
      </c>
      <c r="P14" s="64" t="inlineStr">
        <is>
          <t xml:space="preserve">Debts </t>
        </is>
      </c>
    </row>
    <row r="15" ht="13.2" customHeight="1" s="53">
      <c r="B15" s="14" t="n"/>
      <c r="C15" s="15" t="inlineStr">
        <is>
          <t xml:space="preserve">Budget </t>
        </is>
      </c>
      <c r="D15" s="15" t="inlineStr">
        <is>
          <t>Actual</t>
        </is>
      </c>
      <c r="F15" s="16" t="n"/>
      <c r="G15" s="17" t="inlineStr">
        <is>
          <t>Date</t>
        </is>
      </c>
      <c r="H15" s="17" t="inlineStr">
        <is>
          <t>Budget</t>
        </is>
      </c>
      <c r="I15" s="17" t="inlineStr">
        <is>
          <t>Actual</t>
        </is>
      </c>
      <c r="K15" s="18" t="n"/>
      <c r="L15" s="19" t="inlineStr">
        <is>
          <t xml:space="preserve">Date </t>
        </is>
      </c>
      <c r="M15" s="19" t="inlineStr">
        <is>
          <t xml:space="preserve">Budget </t>
        </is>
      </c>
      <c r="N15" s="19" t="inlineStr">
        <is>
          <t xml:space="preserve">Actual </t>
        </is>
      </c>
      <c r="P15" s="20" t="n"/>
      <c r="Q15" s="21" t="inlineStr">
        <is>
          <t xml:space="preserve">Date </t>
        </is>
      </c>
      <c r="R15" s="21" t="inlineStr">
        <is>
          <t xml:space="preserve">Budget </t>
        </is>
      </c>
      <c r="S15" s="21" t="inlineStr">
        <is>
          <t xml:space="preserve">Actual </t>
        </is>
      </c>
    </row>
    <row r="16" ht="13.2" customHeight="1" s="53">
      <c r="B16" s="7" t="inlineStr">
        <is>
          <t>Emergency</t>
        </is>
      </c>
      <c r="C16" s="22" t="n">
        <v>5000</v>
      </c>
      <c r="D16" s="22" t="n">
        <v>5000</v>
      </c>
      <c r="E16" s="6" t="n"/>
      <c r="F16" s="7" t="inlineStr">
        <is>
          <t xml:space="preserve">Bus </t>
        </is>
      </c>
      <c r="G16" s="23" t="n"/>
      <c r="H16" s="9" t="n">
        <v>1500</v>
      </c>
      <c r="I16" s="9" t="n">
        <v>1350</v>
      </c>
      <c r="K16" s="7" t="inlineStr">
        <is>
          <t xml:space="preserve">Rent </t>
        </is>
      </c>
      <c r="L16" s="7" t="n"/>
      <c r="M16" s="9" t="n">
        <v>15000</v>
      </c>
      <c r="N16" s="9" t="n">
        <v>15000</v>
      </c>
      <c r="P16" s="7" t="inlineStr">
        <is>
          <t xml:space="preserve">Visa Card </t>
        </is>
      </c>
      <c r="Q16" s="7" t="n"/>
      <c r="R16" s="9" t="n">
        <v>2500</v>
      </c>
      <c r="S16" s="9" t="n">
        <v>2500</v>
      </c>
    </row>
    <row r="17" ht="13.2" customHeight="1" s="53">
      <c r="B17" s="7" t="inlineStr">
        <is>
          <t xml:space="preserve">Vacation </t>
        </is>
      </c>
      <c r="C17" s="22" t="n">
        <v>2000</v>
      </c>
      <c r="D17" s="22" t="n">
        <v>1500</v>
      </c>
      <c r="E17" s="6" t="n"/>
      <c r="F17" s="7" t="inlineStr">
        <is>
          <t>Uber/Rapido</t>
        </is>
      </c>
      <c r="G17" s="7" t="n"/>
      <c r="H17" s="9" t="n">
        <v>2500</v>
      </c>
      <c r="I17" s="9" t="n">
        <v>2900</v>
      </c>
      <c r="K17" s="7" t="inlineStr">
        <is>
          <t>Electricity</t>
        </is>
      </c>
      <c r="L17" s="7" t="n"/>
      <c r="M17" s="9" t="n">
        <v>2000</v>
      </c>
      <c r="N17" s="9" t="n">
        <v>2250</v>
      </c>
      <c r="P17" s="7" t="inlineStr">
        <is>
          <t>Mastercaard</t>
        </is>
      </c>
      <c r="Q17" s="7" t="n"/>
      <c r="R17" s="9" t="n">
        <v>2000</v>
      </c>
      <c r="S17" s="9" t="n">
        <v>2000</v>
      </c>
    </row>
    <row r="18" ht="13.2" customHeight="1" s="53">
      <c r="B18" s="7" t="inlineStr">
        <is>
          <t xml:space="preserve">Other </t>
        </is>
      </c>
      <c r="C18" s="22" t="n">
        <v>1000</v>
      </c>
      <c r="D18" s="22" t="n">
        <v>800</v>
      </c>
      <c r="E18" s="6" t="n"/>
      <c r="F18" s="7" t="inlineStr">
        <is>
          <t>Dining Out</t>
        </is>
      </c>
      <c r="G18" s="7" t="n"/>
      <c r="H18" s="9" t="n">
        <v>3500</v>
      </c>
      <c r="I18" s="9" t="n">
        <v>4100</v>
      </c>
      <c r="K18" s="7" t="inlineStr">
        <is>
          <t>Cell Phone</t>
        </is>
      </c>
      <c r="L18" s="7" t="n"/>
      <c r="M18" s="9" t="n">
        <v>800</v>
      </c>
      <c r="N18" s="9" t="n">
        <v>799</v>
      </c>
      <c r="P18" s="7" t="inlineStr">
        <is>
          <t>Personal Loan</t>
        </is>
      </c>
      <c r="Q18" s="7" t="n"/>
      <c r="R18" s="9" t="n">
        <v>2500</v>
      </c>
      <c r="S18" s="9" t="n">
        <v>2500</v>
      </c>
    </row>
    <row r="19" ht="13.2" customHeight="1" s="53">
      <c r="B19" s="7" t="inlineStr">
        <is>
          <t>Investment</t>
        </is>
      </c>
      <c r="C19" s="22" t="n">
        <v>4000</v>
      </c>
      <c r="D19" s="22" t="n">
        <v>6200</v>
      </c>
      <c r="E19" s="6" t="n"/>
      <c r="F19" s="7" t="inlineStr">
        <is>
          <t>Other Expenses</t>
        </is>
      </c>
      <c r="G19" s="24" t="n"/>
      <c r="H19" s="9" t="n">
        <v>2000</v>
      </c>
      <c r="I19" s="9" t="n">
        <v>1700</v>
      </c>
      <c r="K19" s="7" t="inlineStr">
        <is>
          <t xml:space="preserve">Internet </t>
        </is>
      </c>
      <c r="L19" s="7" t="n"/>
      <c r="M19" s="9" t="n">
        <v>1000</v>
      </c>
      <c r="N19" s="9" t="n">
        <v>999</v>
      </c>
      <c r="Q19" s="7" t="n"/>
      <c r="R19" s="9" t="n"/>
      <c r="S19" s="9" t="n"/>
    </row>
    <row r="20" ht="13.2" customHeight="1" s="53">
      <c r="C20" s="9" t="n"/>
      <c r="D20" s="9" t="n"/>
      <c r="E20" s="6" t="n"/>
      <c r="F20" s="7" t="inlineStr">
        <is>
          <t>Food Outside</t>
        </is>
      </c>
      <c r="G20" s="7" t="n"/>
      <c r="H20" s="9" t="n">
        <v>4000</v>
      </c>
      <c r="I20" s="9" t="n">
        <v>4350</v>
      </c>
      <c r="K20" s="7" t="inlineStr">
        <is>
          <t>Bus Pass</t>
        </is>
      </c>
      <c r="L20" s="7" t="n"/>
      <c r="M20" s="9" t="n">
        <v>1200</v>
      </c>
      <c r="N20" s="9" t="n">
        <v>1200</v>
      </c>
      <c r="P20" s="7" t="n"/>
      <c r="Q20" s="7" t="n"/>
      <c r="R20" s="9" t="n"/>
      <c r="S20" s="9" t="n"/>
    </row>
    <row r="21" ht="13.2" customHeight="1" s="53">
      <c r="B21" s="7" t="n"/>
      <c r="C21" s="9" t="n"/>
      <c r="D21" s="9" t="n"/>
      <c r="F21" s="7" t="inlineStr">
        <is>
          <t>Food Order</t>
        </is>
      </c>
      <c r="G21" s="23" t="n"/>
      <c r="H21" s="9" t="n">
        <v>5000</v>
      </c>
      <c r="I21" s="9" t="n">
        <v>4950</v>
      </c>
      <c r="L21" s="7" t="n"/>
      <c r="M21" s="9" t="n"/>
      <c r="N21" s="9" t="n"/>
      <c r="P21" s="7" t="n"/>
      <c r="Q21" s="7" t="n"/>
      <c r="R21" s="9" t="n"/>
      <c r="S21" s="9" t="n"/>
    </row>
    <row r="22" ht="13.2" customHeight="1" s="53">
      <c r="B22" s="7" t="n"/>
      <c r="C22" s="9" t="n"/>
      <c r="D22" s="9" t="n"/>
      <c r="G22" s="7" t="n"/>
      <c r="H22" s="9" t="n"/>
      <c r="I22" s="9" t="n"/>
      <c r="K22" s="7" t="n"/>
      <c r="L22" s="7" t="n"/>
      <c r="M22" s="9" t="n"/>
      <c r="N22" s="9" t="n"/>
      <c r="P22" s="7" t="n"/>
      <c r="Q22" s="7" t="n"/>
      <c r="R22" s="9" t="n"/>
      <c r="S22" s="9" t="n"/>
    </row>
    <row r="23" ht="13.2" customHeight="1" s="53">
      <c r="B23" s="7" t="n"/>
      <c r="C23" s="9" t="n"/>
      <c r="D23" s="9" t="n"/>
      <c r="F23" s="7" t="n"/>
      <c r="G23" s="7" t="n"/>
      <c r="H23" s="9" t="n"/>
      <c r="I23" s="9" t="n"/>
      <c r="K23" s="7" t="n"/>
      <c r="L23" s="7" t="n"/>
      <c r="M23" s="9" t="n"/>
      <c r="N23" s="9" t="n"/>
      <c r="P23" s="7" t="n"/>
      <c r="Q23" s="7" t="n"/>
      <c r="R23" s="9" t="n"/>
      <c r="S23" s="9" t="n"/>
    </row>
    <row r="24" ht="13.2" customHeight="1" s="53">
      <c r="B24" s="7" t="n"/>
      <c r="C24" s="9" t="n"/>
      <c r="D24" s="9" t="n"/>
      <c r="F24" s="7" t="n"/>
      <c r="G24" s="7" t="n"/>
      <c r="H24" s="9" t="n"/>
      <c r="I24" s="9" t="n"/>
      <c r="K24" s="7" t="n"/>
      <c r="L24" s="7" t="n"/>
      <c r="M24" s="9" t="n"/>
      <c r="N24" s="9" t="n"/>
      <c r="P24" s="7" t="n"/>
      <c r="Q24" s="7" t="n"/>
      <c r="R24" s="9" t="n"/>
      <c r="S24" s="9" t="n"/>
    </row>
    <row r="25" ht="13.2" customHeight="1" s="53">
      <c r="B25" s="7" t="inlineStr">
        <is>
          <t>Balance</t>
        </is>
      </c>
      <c r="C25" s="9">
        <f>SUM(C16:C24)</f>
        <v/>
      </c>
      <c r="D25" s="9">
        <f>SUM(D16:D24)</f>
        <v/>
      </c>
      <c r="F25" s="7" t="inlineStr">
        <is>
          <t>Balance</t>
        </is>
      </c>
      <c r="G25" s="7" t="n"/>
      <c r="H25" s="9">
        <f>SUM(H16:H24)</f>
        <v/>
      </c>
      <c r="I25" s="9">
        <f>SUM(I16:I24)</f>
        <v/>
      </c>
      <c r="K25" s="7" t="inlineStr">
        <is>
          <t>Balance</t>
        </is>
      </c>
      <c r="L25" s="7" t="n"/>
      <c r="M25" s="9">
        <f>SUM(M16:M20)</f>
        <v/>
      </c>
      <c r="N25" s="9">
        <f>SUM(N16:N20)</f>
        <v/>
      </c>
      <c r="P25" s="7" t="inlineStr">
        <is>
          <t>Balance</t>
        </is>
      </c>
      <c r="Q25" s="7" t="n"/>
      <c r="R25" s="9">
        <f>SUM(R16:R24)</f>
        <v/>
      </c>
      <c r="S25" s="9">
        <f>SUM(S16:S24)</f>
        <v/>
      </c>
    </row>
  </sheetData>
  <mergeCells count="10">
    <mergeCell ref="F14:I14"/>
    <mergeCell ref="B3:D3"/>
    <mergeCell ref="B5:D5"/>
    <mergeCell ref="B14:D14"/>
    <mergeCell ref="P14:S14"/>
    <mergeCell ref="K14:N14"/>
    <mergeCell ref="F2:I2"/>
    <mergeCell ref="P7:S8"/>
    <mergeCell ref="K7:N8"/>
    <mergeCell ref="B2:D2"/>
  </mergeCells>
  <dataValidations count="1">
    <dataValidation sqref="G4:G12 G16:G25 L16:L25 Q16:Q25" showDropDown="1" showInputMessage="0" showErrorMessage="1" allowBlank="1" type="custom">
      <formula1>OR(NOT(ISERROR(DATEVALUE(G4))), AND(ISNUMBER(G4), LEFT(CELL("format", G4))="D"))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B2:S25"/>
  <sheetViews>
    <sheetView showGridLines="0" zoomScale="95" workbookViewId="0">
      <selection activeCell="D8" sqref="D8"/>
    </sheetView>
  </sheetViews>
  <sheetFormatPr baseColWidth="8" defaultColWidth="12.6640625" defaultRowHeight="15.75" customHeight="1"/>
  <cols>
    <col width="2.6640625" customWidth="1" style="53" min="1" max="1"/>
    <col width="11.33203125" customWidth="1" style="53" min="3" max="4"/>
    <col width="2.6640625" customWidth="1" style="53" min="5" max="5"/>
    <col width="14.44140625" customWidth="1" style="53" min="6" max="6"/>
    <col width="5.109375" customWidth="1" style="53" min="7" max="7"/>
    <col width="11.33203125" customWidth="1" style="53" min="8" max="9"/>
    <col width="2.6640625" customWidth="1" style="53" min="10" max="10"/>
    <col width="14.44140625" customWidth="1" style="53" min="11" max="11"/>
    <col width="5.109375" customWidth="1" style="53" min="12" max="12"/>
    <col width="11.33203125" customWidth="1" style="53" min="13" max="14"/>
    <col width="2.6640625" customWidth="1" style="53" min="15" max="15"/>
    <col width="14.44140625" customWidth="1" style="53" min="16" max="16"/>
    <col width="5.109375" customWidth="1" style="53" min="17" max="17"/>
    <col width="11.33203125" customWidth="1" style="53" min="18" max="19"/>
  </cols>
  <sheetData>
    <row r="2" ht="15.75" customHeight="1" s="53">
      <c r="B2" s="71" t="inlineStr">
        <is>
          <t>September</t>
        </is>
      </c>
      <c r="E2" s="1" t="n"/>
      <c r="F2" s="66" t="inlineStr">
        <is>
          <t>Income</t>
        </is>
      </c>
      <c r="K2" s="25" t="n"/>
      <c r="L2" s="26" t="n"/>
      <c r="M2" s="26" t="n"/>
      <c r="N2" s="27" t="n"/>
      <c r="P2" s="25" t="n"/>
      <c r="Q2" s="26" t="n"/>
      <c r="R2" s="26" t="n"/>
      <c r="S2" s="27" t="n"/>
    </row>
    <row r="3" ht="13.2" customHeight="1" s="53">
      <c r="B3" s="61" t="inlineStr">
        <is>
          <t>Monthly Budget</t>
        </is>
      </c>
      <c r="F3" s="2" t="n"/>
      <c r="G3" s="3" t="inlineStr">
        <is>
          <t xml:space="preserve">Date </t>
        </is>
      </c>
      <c r="H3" s="4" t="inlineStr">
        <is>
          <t xml:space="preserve">Budget </t>
        </is>
      </c>
      <c r="I3" s="4" t="inlineStr">
        <is>
          <t>Actual</t>
        </is>
      </c>
      <c r="K3" s="28" t="n"/>
      <c r="N3" s="29" t="n"/>
      <c r="P3" s="28" t="n"/>
      <c r="S3" s="29" t="n"/>
    </row>
    <row r="4" ht="13.2" customHeight="1" s="53">
      <c r="B4" s="5" t="n"/>
      <c r="C4" s="5" t="n"/>
      <c r="D4" s="5" t="n"/>
      <c r="E4" s="6" t="n"/>
      <c r="F4" s="7" t="inlineStr">
        <is>
          <t xml:space="preserve">Pay Check </t>
        </is>
      </c>
      <c r="G4" s="8" t="n"/>
      <c r="H4" s="9" t="n">
        <v>65000</v>
      </c>
      <c r="I4" s="9" t="n">
        <v>65000</v>
      </c>
      <c r="K4" s="28" t="n"/>
      <c r="N4" s="29" t="n"/>
      <c r="P4" s="28" t="n"/>
      <c r="S4" s="29" t="n"/>
    </row>
    <row r="5" ht="13.2" customHeight="1" s="53">
      <c r="B5" s="62" t="inlineStr">
        <is>
          <t xml:space="preserve">Cash Flow </t>
        </is>
      </c>
      <c r="E5" s="6" t="n"/>
      <c r="F5" s="7" t="inlineStr">
        <is>
          <t>Other Income</t>
        </is>
      </c>
      <c r="G5" s="8" t="n"/>
      <c r="H5" s="9" t="n">
        <v>3000</v>
      </c>
      <c r="I5" s="9" t="n">
        <v>6250</v>
      </c>
      <c r="K5" s="28" t="n"/>
      <c r="N5" s="29" t="n"/>
      <c r="P5" s="28" t="n"/>
      <c r="S5" s="29" t="n"/>
    </row>
    <row r="6" ht="13.2" customHeight="1" s="53">
      <c r="B6" s="10" t="n"/>
      <c r="C6" s="11" t="inlineStr">
        <is>
          <t xml:space="preserve">Budget </t>
        </is>
      </c>
      <c r="D6" s="11" t="inlineStr">
        <is>
          <t>Actual</t>
        </is>
      </c>
      <c r="E6" s="6" t="n"/>
      <c r="F6" s="7" t="n"/>
      <c r="G6" s="8" t="n"/>
      <c r="H6" s="9" t="n"/>
      <c r="I6" s="9" t="n"/>
      <c r="K6" s="28" t="n"/>
      <c r="N6" s="29" t="n"/>
      <c r="P6" s="28" t="n"/>
      <c r="S6" s="29" t="n"/>
    </row>
    <row r="7" ht="13.2" customHeight="1" s="53">
      <c r="B7" s="7" t="inlineStr">
        <is>
          <t xml:space="preserve">Start Balance </t>
        </is>
      </c>
      <c r="C7" s="9" t="n">
        <v>8000</v>
      </c>
      <c r="D7" s="9" t="n">
        <v>6200</v>
      </c>
      <c r="F7" s="7" t="n"/>
      <c r="G7" s="8" t="n"/>
      <c r="H7" s="9" t="n"/>
      <c r="I7" s="9" t="n"/>
      <c r="K7" s="67">
        <f>C12</f>
        <v/>
      </c>
      <c r="N7" s="68" t="n"/>
      <c r="P7" s="67">
        <f>D12</f>
        <v/>
      </c>
      <c r="S7" s="68" t="n"/>
    </row>
    <row r="8" ht="13.2" customHeight="1" s="53">
      <c r="B8" s="7" t="inlineStr">
        <is>
          <t>Income</t>
        </is>
      </c>
      <c r="C8" s="9" t="n">
        <v>68000</v>
      </c>
      <c r="D8" s="9" t="n">
        <v>71250</v>
      </c>
      <c r="F8" s="7" t="n"/>
      <c r="G8" s="8" t="n"/>
      <c r="H8" s="9" t="n"/>
      <c r="I8" s="9" t="n"/>
      <c r="K8" s="69" t="n"/>
      <c r="N8" s="68" t="n"/>
      <c r="P8" s="69" t="n"/>
      <c r="S8" s="68" t="n"/>
    </row>
    <row r="9" ht="13.2" customHeight="1" s="53">
      <c r="B9" s="7" t="inlineStr">
        <is>
          <t>Expense</t>
        </is>
      </c>
      <c r="C9" s="9" t="n">
        <v>18500</v>
      </c>
      <c r="D9" s="9" t="n">
        <v>19350</v>
      </c>
      <c r="F9" s="7" t="n"/>
      <c r="G9" s="8" t="n"/>
      <c r="H9" s="9" t="n"/>
      <c r="I9" s="9" t="n"/>
      <c r="K9" s="28" t="n"/>
      <c r="N9" s="29" t="n"/>
      <c r="P9" s="28" t="n"/>
      <c r="S9" s="29" t="n"/>
    </row>
    <row r="10" ht="13.2" customHeight="1" s="53">
      <c r="B10" s="7" t="inlineStr">
        <is>
          <t xml:space="preserve">Debt </t>
        </is>
      </c>
      <c r="C10" s="9" t="n">
        <v>7000</v>
      </c>
      <c r="D10" s="9" t="n">
        <v>7000</v>
      </c>
      <c r="F10" s="7" t="n"/>
      <c r="G10" s="8" t="n"/>
      <c r="H10" s="9" t="n"/>
      <c r="I10" s="9" t="n"/>
      <c r="K10" s="28" t="n"/>
      <c r="N10" s="29" t="n"/>
      <c r="P10" s="28" t="n"/>
      <c r="S10" s="29" t="n"/>
    </row>
    <row r="11" ht="13.2" customHeight="1" s="53">
      <c r="B11" s="7" t="inlineStr">
        <is>
          <t>Savings</t>
        </is>
      </c>
      <c r="C11" s="9" t="n">
        <v>12000</v>
      </c>
      <c r="D11" s="9" t="n">
        <v>13500</v>
      </c>
      <c r="F11" s="7" t="n"/>
      <c r="G11" s="8" t="n"/>
      <c r="H11" s="9" t="n"/>
      <c r="I11" s="9" t="n"/>
      <c r="K11" s="28" t="n"/>
      <c r="N11" s="29" t="n"/>
      <c r="P11" s="28" t="n"/>
      <c r="S11" s="29" t="n"/>
    </row>
    <row r="12" ht="13.2" customHeight="1" s="53">
      <c r="B12" s="7" t="inlineStr">
        <is>
          <t>Balance</t>
        </is>
      </c>
      <c r="C12" s="9">
        <f>C7+C8-C9-C10-C11</f>
        <v/>
      </c>
      <c r="D12" s="9">
        <f>D7+D8-D9-D10-D11</f>
        <v/>
      </c>
      <c r="F12" s="7" t="inlineStr">
        <is>
          <t>Balance</t>
        </is>
      </c>
      <c r="G12" s="8" t="n"/>
      <c r="H12" s="9">
        <f>SUM(H4:H11)</f>
        <v/>
      </c>
      <c r="I12" s="9">
        <f>SUM(I4:I11)</f>
        <v/>
      </c>
      <c r="K12" s="30" t="n"/>
      <c r="L12" s="31" t="n"/>
      <c r="M12" s="31" t="n"/>
      <c r="N12" s="32" t="n"/>
      <c r="P12" s="30" t="n"/>
      <c r="Q12" s="31" t="n"/>
      <c r="R12" s="31" t="n"/>
      <c r="S12" s="32" t="n"/>
    </row>
    <row r="13" ht="13.2" customHeight="1" s="53">
      <c r="B13" s="12" t="inlineStr">
        <is>
          <t>Spent</t>
        </is>
      </c>
      <c r="C13" s="13">
        <f>SUM(C9:C12)</f>
        <v/>
      </c>
      <c r="D13" s="13">
        <f>SUM(D9:D12)</f>
        <v/>
      </c>
    </row>
    <row r="14" ht="13.2" customHeight="1" s="53">
      <c r="B14" s="65" t="inlineStr">
        <is>
          <t>Savings &amp; Investments</t>
        </is>
      </c>
      <c r="E14" s="5" t="n"/>
      <c r="F14" s="60" t="inlineStr">
        <is>
          <t>Expenses</t>
        </is>
      </c>
      <c r="K14" s="63" t="inlineStr">
        <is>
          <t xml:space="preserve">Bills </t>
        </is>
      </c>
      <c r="P14" s="64" t="inlineStr">
        <is>
          <t xml:space="preserve">Debts </t>
        </is>
      </c>
    </row>
    <row r="15" ht="13.2" customHeight="1" s="53">
      <c r="B15" s="14" t="n"/>
      <c r="C15" s="15" t="inlineStr">
        <is>
          <t xml:space="preserve">Budget </t>
        </is>
      </c>
      <c r="D15" s="15" t="inlineStr">
        <is>
          <t>Actual</t>
        </is>
      </c>
      <c r="F15" s="16" t="n"/>
      <c r="G15" s="17" t="inlineStr">
        <is>
          <t>Date</t>
        </is>
      </c>
      <c r="H15" s="17" t="inlineStr">
        <is>
          <t>Budget</t>
        </is>
      </c>
      <c r="I15" s="17" t="inlineStr">
        <is>
          <t>Actual</t>
        </is>
      </c>
      <c r="K15" s="18" t="n"/>
      <c r="L15" s="19" t="inlineStr">
        <is>
          <t xml:space="preserve">Date </t>
        </is>
      </c>
      <c r="M15" s="19" t="inlineStr">
        <is>
          <t xml:space="preserve">Budget </t>
        </is>
      </c>
      <c r="N15" s="19" t="inlineStr">
        <is>
          <t xml:space="preserve">Actual </t>
        </is>
      </c>
      <c r="P15" s="20" t="n"/>
      <c r="Q15" s="21" t="inlineStr">
        <is>
          <t xml:space="preserve">Date </t>
        </is>
      </c>
      <c r="R15" s="21" t="inlineStr">
        <is>
          <t xml:space="preserve">Budget </t>
        </is>
      </c>
      <c r="S15" s="21" t="inlineStr">
        <is>
          <t xml:space="preserve">Actual </t>
        </is>
      </c>
    </row>
    <row r="16" ht="13.2" customHeight="1" s="53">
      <c r="B16" s="7" t="inlineStr">
        <is>
          <t>Emergency</t>
        </is>
      </c>
      <c r="C16" s="22" t="n">
        <v>5000</v>
      </c>
      <c r="D16" s="22" t="n">
        <v>5000</v>
      </c>
      <c r="E16" s="6" t="n"/>
      <c r="F16" s="7" t="inlineStr">
        <is>
          <t xml:space="preserve">Bus </t>
        </is>
      </c>
      <c r="G16" s="23" t="n"/>
      <c r="H16" s="9" t="n">
        <v>1500</v>
      </c>
      <c r="I16" s="9" t="n">
        <v>1350</v>
      </c>
      <c r="K16" s="7" t="inlineStr">
        <is>
          <t xml:space="preserve">Rent </t>
        </is>
      </c>
      <c r="L16" s="7" t="n"/>
      <c r="M16" s="9" t="n">
        <v>15000</v>
      </c>
      <c r="N16" s="9" t="n">
        <v>15000</v>
      </c>
      <c r="P16" s="7" t="inlineStr">
        <is>
          <t xml:space="preserve">Visa Card </t>
        </is>
      </c>
      <c r="Q16" s="7" t="n"/>
      <c r="R16" s="9" t="n">
        <v>2500</v>
      </c>
      <c r="S16" s="9" t="n">
        <v>2500</v>
      </c>
    </row>
    <row r="17" ht="13.2" customHeight="1" s="53">
      <c r="B17" s="7" t="inlineStr">
        <is>
          <t xml:space="preserve">Vacation </t>
        </is>
      </c>
      <c r="C17" s="22" t="n">
        <v>2000</v>
      </c>
      <c r="D17" s="22" t="n">
        <v>1500</v>
      </c>
      <c r="E17" s="6" t="n"/>
      <c r="F17" s="7" t="inlineStr">
        <is>
          <t>Uber/Rapido</t>
        </is>
      </c>
      <c r="G17" s="7" t="n"/>
      <c r="H17" s="9" t="n">
        <v>2500</v>
      </c>
      <c r="I17" s="9" t="n">
        <v>2900</v>
      </c>
      <c r="K17" s="7" t="inlineStr">
        <is>
          <t>Electricity</t>
        </is>
      </c>
      <c r="L17" s="7" t="n"/>
      <c r="M17" s="9" t="n">
        <v>2000</v>
      </c>
      <c r="N17" s="9" t="n">
        <v>2250</v>
      </c>
      <c r="P17" s="7" t="inlineStr">
        <is>
          <t>Mastercaard</t>
        </is>
      </c>
      <c r="Q17" s="7" t="n"/>
      <c r="R17" s="9" t="n">
        <v>2000</v>
      </c>
      <c r="S17" s="9" t="n">
        <v>2000</v>
      </c>
    </row>
    <row r="18" ht="13.2" customHeight="1" s="53">
      <c r="B18" s="7" t="inlineStr">
        <is>
          <t xml:space="preserve">Other </t>
        </is>
      </c>
      <c r="C18" s="22" t="n">
        <v>1000</v>
      </c>
      <c r="D18" s="22" t="n">
        <v>800</v>
      </c>
      <c r="E18" s="6" t="n"/>
      <c r="F18" s="7" t="inlineStr">
        <is>
          <t>Dining Out</t>
        </is>
      </c>
      <c r="G18" s="7" t="n"/>
      <c r="H18" s="9" t="n">
        <v>3500</v>
      </c>
      <c r="I18" s="9" t="n">
        <v>4100</v>
      </c>
      <c r="K18" s="7" t="inlineStr">
        <is>
          <t>Cell Phone</t>
        </is>
      </c>
      <c r="L18" s="7" t="n"/>
      <c r="M18" s="9" t="n">
        <v>800</v>
      </c>
      <c r="N18" s="9" t="n">
        <v>799</v>
      </c>
      <c r="P18" s="7" t="inlineStr">
        <is>
          <t>Personal Loan</t>
        </is>
      </c>
      <c r="Q18" s="7" t="n"/>
      <c r="R18" s="9" t="n">
        <v>2500</v>
      </c>
      <c r="S18" s="9" t="n">
        <v>2500</v>
      </c>
    </row>
    <row r="19" ht="13.2" customHeight="1" s="53">
      <c r="B19" s="7" t="inlineStr">
        <is>
          <t>Investment</t>
        </is>
      </c>
      <c r="C19" s="22" t="n">
        <v>4000</v>
      </c>
      <c r="D19" s="22" t="n">
        <v>6200</v>
      </c>
      <c r="E19" s="6" t="n"/>
      <c r="F19" s="7" t="inlineStr">
        <is>
          <t>Other Expenses</t>
        </is>
      </c>
      <c r="G19" s="24" t="n"/>
      <c r="H19" s="9" t="n">
        <v>2000</v>
      </c>
      <c r="I19" s="9" t="n">
        <v>1700</v>
      </c>
      <c r="K19" s="7" t="inlineStr">
        <is>
          <t xml:space="preserve">Internet </t>
        </is>
      </c>
      <c r="L19" s="7" t="n"/>
      <c r="M19" s="9" t="n">
        <v>1000</v>
      </c>
      <c r="N19" s="9" t="n">
        <v>999</v>
      </c>
      <c r="Q19" s="7" t="n"/>
      <c r="R19" s="9" t="n"/>
      <c r="S19" s="9" t="n"/>
    </row>
    <row r="20" ht="13.2" customHeight="1" s="53">
      <c r="C20" s="9" t="n"/>
      <c r="D20" s="9" t="n"/>
      <c r="E20" s="6" t="n"/>
      <c r="F20" s="7" t="inlineStr">
        <is>
          <t>Food Outside</t>
        </is>
      </c>
      <c r="G20" s="7" t="n"/>
      <c r="H20" s="9" t="n">
        <v>4000</v>
      </c>
      <c r="I20" s="9" t="n">
        <v>4350</v>
      </c>
      <c r="K20" s="7" t="inlineStr">
        <is>
          <t>Bus Pass</t>
        </is>
      </c>
      <c r="L20" s="7" t="n"/>
      <c r="M20" s="9" t="n">
        <v>1200</v>
      </c>
      <c r="N20" s="9" t="n">
        <v>1200</v>
      </c>
      <c r="P20" s="7" t="n"/>
      <c r="Q20" s="7" t="n"/>
      <c r="R20" s="9" t="n"/>
      <c r="S20" s="9" t="n"/>
    </row>
    <row r="21" ht="13.2" customHeight="1" s="53">
      <c r="B21" s="7" t="n"/>
      <c r="C21" s="9" t="n"/>
      <c r="D21" s="9" t="n"/>
      <c r="F21" s="7" t="inlineStr">
        <is>
          <t>Food Order</t>
        </is>
      </c>
      <c r="G21" s="23" t="n"/>
      <c r="H21" s="9" t="n">
        <v>5000</v>
      </c>
      <c r="I21" s="9" t="n">
        <v>4950</v>
      </c>
      <c r="L21" s="7" t="n"/>
      <c r="M21" s="9" t="n"/>
      <c r="N21" s="9" t="n"/>
      <c r="P21" s="7" t="n"/>
      <c r="Q21" s="7" t="n"/>
      <c r="R21" s="9" t="n"/>
      <c r="S21" s="9" t="n"/>
    </row>
    <row r="22" ht="13.2" customHeight="1" s="53">
      <c r="B22" s="7" t="n"/>
      <c r="C22" s="9" t="n"/>
      <c r="D22" s="9" t="n"/>
      <c r="G22" s="7" t="n"/>
      <c r="H22" s="9" t="n"/>
      <c r="I22" s="9" t="n"/>
      <c r="K22" s="7" t="n"/>
      <c r="L22" s="7" t="n"/>
      <c r="M22" s="9" t="n"/>
      <c r="N22" s="9" t="n"/>
      <c r="P22" s="7" t="n"/>
      <c r="Q22" s="7" t="n"/>
      <c r="R22" s="9" t="n"/>
      <c r="S22" s="9" t="n"/>
    </row>
    <row r="23" ht="13.2" customHeight="1" s="53">
      <c r="B23" s="7" t="n"/>
      <c r="C23" s="9" t="n"/>
      <c r="D23" s="9" t="n"/>
      <c r="F23" s="7" t="n"/>
      <c r="G23" s="7" t="n"/>
      <c r="H23" s="9" t="n"/>
      <c r="I23" s="9" t="n"/>
      <c r="K23" s="7" t="n"/>
      <c r="L23" s="7" t="n"/>
      <c r="M23" s="9" t="n"/>
      <c r="N23" s="9" t="n"/>
      <c r="P23" s="7" t="n"/>
      <c r="Q23" s="7" t="n"/>
      <c r="R23" s="9" t="n"/>
      <c r="S23" s="9" t="n"/>
    </row>
    <row r="24" ht="13.2" customHeight="1" s="53">
      <c r="B24" s="7" t="n"/>
      <c r="C24" s="9" t="n"/>
      <c r="D24" s="9" t="n"/>
      <c r="F24" s="7" t="n"/>
      <c r="G24" s="7" t="n"/>
      <c r="H24" s="9" t="n"/>
      <c r="I24" s="9" t="n"/>
      <c r="K24" s="7" t="n"/>
      <c r="L24" s="7" t="n"/>
      <c r="M24" s="9" t="n"/>
      <c r="N24" s="9" t="n"/>
      <c r="P24" s="7" t="n"/>
      <c r="Q24" s="7" t="n"/>
      <c r="R24" s="9" t="n"/>
      <c r="S24" s="9" t="n"/>
    </row>
    <row r="25" ht="13.2" customHeight="1" s="53">
      <c r="B25" s="7" t="inlineStr">
        <is>
          <t>Balance</t>
        </is>
      </c>
      <c r="C25" s="9">
        <f>SUM(C16:C24)</f>
        <v/>
      </c>
      <c r="D25" s="9">
        <f>SUM(D16:D24)</f>
        <v/>
      </c>
      <c r="F25" s="7" t="inlineStr">
        <is>
          <t>Balance</t>
        </is>
      </c>
      <c r="G25" s="7" t="n"/>
      <c r="H25" s="9">
        <f>SUM(H16:H24)</f>
        <v/>
      </c>
      <c r="I25" s="9">
        <f>SUM(I16:I24)</f>
        <v/>
      </c>
      <c r="K25" s="7" t="inlineStr">
        <is>
          <t>Balance</t>
        </is>
      </c>
      <c r="L25" s="7" t="n"/>
      <c r="M25" s="9">
        <f>SUM(M16:M20)</f>
        <v/>
      </c>
      <c r="N25" s="9">
        <f>SUM(N16:N20)</f>
        <v/>
      </c>
      <c r="P25" s="7" t="inlineStr">
        <is>
          <t>Balance</t>
        </is>
      </c>
      <c r="Q25" s="7" t="n"/>
      <c r="R25" s="9">
        <f>SUM(R16:R24)</f>
        <v/>
      </c>
      <c r="S25" s="9">
        <f>SUM(S16:S24)</f>
        <v/>
      </c>
    </row>
  </sheetData>
  <mergeCells count="10">
    <mergeCell ref="F14:I14"/>
    <mergeCell ref="B3:D3"/>
    <mergeCell ref="B5:D5"/>
    <mergeCell ref="B14:D14"/>
    <mergeCell ref="P14:S14"/>
    <mergeCell ref="K14:N14"/>
    <mergeCell ref="F2:I2"/>
    <mergeCell ref="P7:S8"/>
    <mergeCell ref="K7:N8"/>
    <mergeCell ref="B2:D2"/>
  </mergeCells>
  <dataValidations count="1">
    <dataValidation sqref="G4:G12 G16:G25 L16:L25 Q16:Q25" showDropDown="1" showInputMessage="0" showErrorMessage="1" allowBlank="1" type="custom">
      <formula1>OR(NOT(ISERROR(DATEVALUE(G4))), AND(ISNUMBER(G4), LEFT(CELL("format", G4))="D"))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B2:S25"/>
  <sheetViews>
    <sheetView showGridLines="0" zoomScale="95" workbookViewId="0">
      <selection activeCell="D8" sqref="D8"/>
    </sheetView>
  </sheetViews>
  <sheetFormatPr baseColWidth="8" defaultColWidth="12.6640625" defaultRowHeight="15.75" customHeight="1"/>
  <cols>
    <col width="2.6640625" customWidth="1" style="53" min="1" max="1"/>
    <col width="11.33203125" customWidth="1" style="53" min="3" max="4"/>
    <col width="2.6640625" customWidth="1" style="53" min="5" max="5"/>
    <col width="14.44140625" customWidth="1" style="53" min="6" max="6"/>
    <col width="5.109375" customWidth="1" style="53" min="7" max="7"/>
    <col width="11.33203125" customWidth="1" style="53" min="8" max="9"/>
    <col width="2.6640625" customWidth="1" style="53" min="10" max="10"/>
    <col width="14.44140625" customWidth="1" style="53" min="11" max="11"/>
    <col width="5.109375" customWidth="1" style="53" min="12" max="12"/>
    <col width="11.33203125" customWidth="1" style="53" min="13" max="14"/>
    <col width="2.6640625" customWidth="1" style="53" min="15" max="15"/>
    <col width="14.44140625" customWidth="1" style="53" min="16" max="16"/>
    <col width="5.109375" customWidth="1" style="53" min="17" max="17"/>
    <col width="11.33203125" customWidth="1" style="53" min="18" max="19"/>
  </cols>
  <sheetData>
    <row r="2" ht="15.75" customHeight="1" s="53">
      <c r="B2" s="71" t="inlineStr">
        <is>
          <t>October</t>
        </is>
      </c>
      <c r="E2" s="1" t="n"/>
      <c r="F2" s="66" t="inlineStr">
        <is>
          <t>Income</t>
        </is>
      </c>
      <c r="K2" s="25" t="n"/>
      <c r="L2" s="26" t="n"/>
      <c r="M2" s="26" t="n"/>
      <c r="N2" s="27" t="n"/>
      <c r="P2" s="25" t="n"/>
      <c r="Q2" s="26" t="n"/>
      <c r="R2" s="26" t="n"/>
      <c r="S2" s="27" t="n"/>
    </row>
    <row r="3" ht="13.2" customHeight="1" s="53">
      <c r="B3" s="61" t="inlineStr">
        <is>
          <t>Monthly Budget</t>
        </is>
      </c>
      <c r="F3" s="2" t="n"/>
      <c r="G3" s="3" t="inlineStr">
        <is>
          <t xml:space="preserve">Date </t>
        </is>
      </c>
      <c r="H3" s="4" t="inlineStr">
        <is>
          <t xml:space="preserve">Budget </t>
        </is>
      </c>
      <c r="I3" s="4" t="inlineStr">
        <is>
          <t>Actual</t>
        </is>
      </c>
      <c r="K3" s="28" t="n"/>
      <c r="N3" s="29" t="n"/>
      <c r="P3" s="28" t="n"/>
      <c r="S3" s="29" t="n"/>
    </row>
    <row r="4" ht="13.2" customHeight="1" s="53">
      <c r="B4" s="5" t="n"/>
      <c r="C4" s="5" t="n"/>
      <c r="D4" s="5" t="n"/>
      <c r="E4" s="6" t="n"/>
      <c r="F4" s="7" t="inlineStr">
        <is>
          <t xml:space="preserve">Pay Check </t>
        </is>
      </c>
      <c r="G4" s="8" t="n"/>
      <c r="H4" s="9" t="n">
        <v>65000</v>
      </c>
      <c r="I4" s="9" t="n">
        <v>65000</v>
      </c>
      <c r="K4" s="28" t="n"/>
      <c r="N4" s="29" t="n"/>
      <c r="P4" s="28" t="n"/>
      <c r="S4" s="29" t="n"/>
    </row>
    <row r="5" ht="13.2" customHeight="1" s="53">
      <c r="B5" s="62" t="inlineStr">
        <is>
          <t xml:space="preserve">Cash Flow </t>
        </is>
      </c>
      <c r="E5" s="6" t="n"/>
      <c r="F5" s="7" t="inlineStr">
        <is>
          <t>Other Income</t>
        </is>
      </c>
      <c r="G5" s="8" t="n"/>
      <c r="H5" s="9" t="n">
        <v>3000</v>
      </c>
      <c r="I5" s="9" t="n">
        <v>6250</v>
      </c>
      <c r="K5" s="28" t="n"/>
      <c r="N5" s="29" t="n"/>
      <c r="P5" s="28" t="n"/>
      <c r="S5" s="29" t="n"/>
    </row>
    <row r="6" ht="13.2" customHeight="1" s="53">
      <c r="B6" s="10" t="n"/>
      <c r="C6" s="11" t="inlineStr">
        <is>
          <t xml:space="preserve">Budget </t>
        </is>
      </c>
      <c r="D6" s="11" t="inlineStr">
        <is>
          <t>Actual</t>
        </is>
      </c>
      <c r="E6" s="6" t="n"/>
      <c r="F6" s="7" t="n"/>
      <c r="G6" s="8" t="n"/>
      <c r="H6" s="9" t="n"/>
      <c r="I6" s="9" t="n"/>
      <c r="K6" s="28" t="n"/>
      <c r="N6" s="29" t="n"/>
      <c r="P6" s="28" t="n"/>
      <c r="S6" s="29" t="n"/>
    </row>
    <row r="7" ht="13.2" customHeight="1" s="53">
      <c r="B7" s="7" t="inlineStr">
        <is>
          <t xml:space="preserve">Start Balance </t>
        </is>
      </c>
      <c r="C7" s="9" t="n">
        <v>8000</v>
      </c>
      <c r="D7" s="9" t="n">
        <v>8900</v>
      </c>
      <c r="F7" s="7" t="n"/>
      <c r="G7" s="8" t="n"/>
      <c r="H7" s="9" t="n"/>
      <c r="I7" s="9" t="n"/>
      <c r="K7" s="67">
        <f>C12</f>
        <v/>
      </c>
      <c r="N7" s="68" t="n"/>
      <c r="P7" s="67">
        <f>D12</f>
        <v/>
      </c>
      <c r="S7" s="68" t="n"/>
    </row>
    <row r="8" ht="13.2" customHeight="1" s="53">
      <c r="B8" s="7" t="inlineStr">
        <is>
          <t>Income</t>
        </is>
      </c>
      <c r="C8" s="9" t="n">
        <v>68000</v>
      </c>
      <c r="D8" s="9" t="n">
        <v>71250</v>
      </c>
      <c r="F8" s="7" t="n"/>
      <c r="G8" s="8" t="n"/>
      <c r="H8" s="9" t="n"/>
      <c r="I8" s="9" t="n"/>
      <c r="K8" s="69" t="n"/>
      <c r="N8" s="68" t="n"/>
      <c r="P8" s="69" t="n"/>
      <c r="S8" s="68" t="n"/>
    </row>
    <row r="9" ht="13.2" customHeight="1" s="53">
      <c r="B9" s="7" t="inlineStr">
        <is>
          <t>Expense</t>
        </is>
      </c>
      <c r="C9" s="9" t="n">
        <v>18500</v>
      </c>
      <c r="D9" s="9" t="n">
        <v>19350</v>
      </c>
      <c r="F9" s="7" t="n"/>
      <c r="G9" s="8" t="n"/>
      <c r="H9" s="9" t="n"/>
      <c r="I9" s="9" t="n"/>
      <c r="K9" s="28" t="n"/>
      <c r="N9" s="29" t="n"/>
      <c r="P9" s="28" t="n"/>
      <c r="S9" s="29" t="n"/>
    </row>
    <row r="10" ht="13.2" customHeight="1" s="53">
      <c r="B10" s="7" t="inlineStr">
        <is>
          <t xml:space="preserve">Debt </t>
        </is>
      </c>
      <c r="C10" s="9" t="n">
        <v>7000</v>
      </c>
      <c r="D10" s="9" t="n">
        <v>7000</v>
      </c>
      <c r="F10" s="7" t="n"/>
      <c r="G10" s="8" t="n"/>
      <c r="H10" s="9" t="n"/>
      <c r="I10" s="9" t="n"/>
      <c r="K10" s="28" t="n"/>
      <c r="N10" s="29" t="n"/>
      <c r="P10" s="28" t="n"/>
      <c r="S10" s="29" t="n"/>
    </row>
    <row r="11" ht="13.2" customHeight="1" s="53">
      <c r="B11" s="7" t="inlineStr">
        <is>
          <t>Savings</t>
        </is>
      </c>
      <c r="C11" s="9" t="n">
        <v>12000</v>
      </c>
      <c r="D11" s="9" t="n">
        <v>13500</v>
      </c>
      <c r="F11" s="7" t="n"/>
      <c r="G11" s="8" t="n"/>
      <c r="H11" s="9" t="n"/>
      <c r="I11" s="9" t="n"/>
      <c r="K11" s="28" t="n"/>
      <c r="N11" s="29" t="n"/>
      <c r="P11" s="28" t="n"/>
      <c r="S11" s="29" t="n"/>
    </row>
    <row r="12" ht="13.2" customHeight="1" s="53">
      <c r="B12" s="7" t="inlineStr">
        <is>
          <t>Balance</t>
        </is>
      </c>
      <c r="C12" s="9">
        <f>C7+C8-C9-C10-C11</f>
        <v/>
      </c>
      <c r="D12" s="9">
        <f>D7+D8-D9-D10-D11</f>
        <v/>
      </c>
      <c r="F12" s="7" t="inlineStr">
        <is>
          <t>Balance</t>
        </is>
      </c>
      <c r="G12" s="8" t="n"/>
      <c r="H12" s="9">
        <f>SUM(H4:H11)</f>
        <v/>
      </c>
      <c r="I12" s="9">
        <f>SUM(I4:I11)</f>
        <v/>
      </c>
      <c r="K12" s="30" t="n"/>
      <c r="L12" s="31" t="n"/>
      <c r="M12" s="31" t="n"/>
      <c r="N12" s="32" t="n"/>
      <c r="P12" s="30" t="n"/>
      <c r="Q12" s="31" t="n"/>
      <c r="R12" s="31" t="n"/>
      <c r="S12" s="32" t="n"/>
    </row>
    <row r="13" ht="13.2" customHeight="1" s="53">
      <c r="B13" s="12" t="inlineStr">
        <is>
          <t>Spent</t>
        </is>
      </c>
      <c r="C13" s="13">
        <f>SUM(C9:C12)</f>
        <v/>
      </c>
      <c r="D13" s="13">
        <f>SUM(D9:D12)</f>
        <v/>
      </c>
    </row>
    <row r="14" ht="13.2" customHeight="1" s="53">
      <c r="B14" s="65" t="inlineStr">
        <is>
          <t>Savings &amp; Investments</t>
        </is>
      </c>
      <c r="E14" s="5" t="n"/>
      <c r="F14" s="60" t="inlineStr">
        <is>
          <t>Expenses</t>
        </is>
      </c>
      <c r="K14" s="63" t="inlineStr">
        <is>
          <t xml:space="preserve">Bills </t>
        </is>
      </c>
      <c r="P14" s="64" t="inlineStr">
        <is>
          <t xml:space="preserve">Debts </t>
        </is>
      </c>
    </row>
    <row r="15" ht="13.2" customHeight="1" s="53">
      <c r="B15" s="14" t="n"/>
      <c r="C15" s="15" t="inlineStr">
        <is>
          <t xml:space="preserve">Budget </t>
        </is>
      </c>
      <c r="D15" s="15" t="inlineStr">
        <is>
          <t>Actual</t>
        </is>
      </c>
      <c r="F15" s="16" t="n"/>
      <c r="G15" s="17" t="inlineStr">
        <is>
          <t>Date</t>
        </is>
      </c>
      <c r="H15" s="17" t="inlineStr">
        <is>
          <t>Budget</t>
        </is>
      </c>
      <c r="I15" s="17" t="inlineStr">
        <is>
          <t>Actual</t>
        </is>
      </c>
      <c r="K15" s="18" t="n"/>
      <c r="L15" s="19" t="inlineStr">
        <is>
          <t xml:space="preserve">Date </t>
        </is>
      </c>
      <c r="M15" s="19" t="inlineStr">
        <is>
          <t xml:space="preserve">Budget </t>
        </is>
      </c>
      <c r="N15" s="19" t="inlineStr">
        <is>
          <t xml:space="preserve">Actual </t>
        </is>
      </c>
      <c r="P15" s="20" t="n"/>
      <c r="Q15" s="21" t="inlineStr">
        <is>
          <t xml:space="preserve">Date </t>
        </is>
      </c>
      <c r="R15" s="21" t="inlineStr">
        <is>
          <t xml:space="preserve">Budget </t>
        </is>
      </c>
      <c r="S15" s="21" t="inlineStr">
        <is>
          <t xml:space="preserve">Actual </t>
        </is>
      </c>
    </row>
    <row r="16" ht="13.2" customHeight="1" s="53">
      <c r="B16" s="7" t="inlineStr">
        <is>
          <t>Emergency</t>
        </is>
      </c>
      <c r="C16" s="22" t="n">
        <v>5000</v>
      </c>
      <c r="D16" s="22" t="n">
        <v>5000</v>
      </c>
      <c r="E16" s="6" t="n"/>
      <c r="F16" s="7" t="inlineStr">
        <is>
          <t xml:space="preserve">Bus </t>
        </is>
      </c>
      <c r="G16" s="23" t="n"/>
      <c r="H16" s="9" t="n">
        <v>1500</v>
      </c>
      <c r="I16" s="9" t="n">
        <v>1350</v>
      </c>
      <c r="K16" s="7" t="inlineStr">
        <is>
          <t xml:space="preserve">Rent </t>
        </is>
      </c>
      <c r="L16" s="7" t="n"/>
      <c r="M16" s="9" t="n">
        <v>15000</v>
      </c>
      <c r="N16" s="9" t="n">
        <v>15000</v>
      </c>
      <c r="P16" s="7" t="inlineStr">
        <is>
          <t xml:space="preserve">Visa Card </t>
        </is>
      </c>
      <c r="Q16" s="7" t="n"/>
      <c r="R16" s="9" t="n">
        <v>2500</v>
      </c>
      <c r="S16" s="9" t="n">
        <v>2500</v>
      </c>
    </row>
    <row r="17" ht="13.2" customHeight="1" s="53">
      <c r="B17" s="7" t="inlineStr">
        <is>
          <t xml:space="preserve">Vacation </t>
        </is>
      </c>
      <c r="C17" s="22" t="n">
        <v>2000</v>
      </c>
      <c r="D17" s="22" t="n">
        <v>1500</v>
      </c>
      <c r="E17" s="6" t="n"/>
      <c r="F17" s="7" t="inlineStr">
        <is>
          <t>Uber/Rapido</t>
        </is>
      </c>
      <c r="G17" s="7" t="n"/>
      <c r="H17" s="9" t="n">
        <v>2500</v>
      </c>
      <c r="I17" s="9" t="n">
        <v>2900</v>
      </c>
      <c r="K17" s="7" t="inlineStr">
        <is>
          <t>Electricity</t>
        </is>
      </c>
      <c r="L17" s="7" t="n"/>
      <c r="M17" s="9" t="n">
        <v>2000</v>
      </c>
      <c r="N17" s="9" t="n">
        <v>2250</v>
      </c>
      <c r="P17" s="7" t="inlineStr">
        <is>
          <t>Mastercaard</t>
        </is>
      </c>
      <c r="Q17" s="7" t="n"/>
      <c r="R17" s="9" t="n">
        <v>2000</v>
      </c>
      <c r="S17" s="9" t="n">
        <v>2000</v>
      </c>
    </row>
    <row r="18" ht="13.2" customHeight="1" s="53">
      <c r="B18" s="7" t="inlineStr">
        <is>
          <t xml:space="preserve">Other </t>
        </is>
      </c>
      <c r="C18" s="22" t="n">
        <v>1000</v>
      </c>
      <c r="D18" s="22" t="n">
        <v>800</v>
      </c>
      <c r="E18" s="6" t="n"/>
      <c r="F18" s="7" t="inlineStr">
        <is>
          <t>Dining Out</t>
        </is>
      </c>
      <c r="G18" s="7" t="n"/>
      <c r="H18" s="9" t="n">
        <v>3500</v>
      </c>
      <c r="I18" s="9" t="n">
        <v>4100</v>
      </c>
      <c r="K18" s="7" t="inlineStr">
        <is>
          <t>Cell Phone</t>
        </is>
      </c>
      <c r="L18" s="7" t="n"/>
      <c r="M18" s="9" t="n">
        <v>800</v>
      </c>
      <c r="N18" s="9" t="n">
        <v>799</v>
      </c>
      <c r="P18" s="7" t="inlineStr">
        <is>
          <t>Personal Loan</t>
        </is>
      </c>
      <c r="Q18" s="7" t="n"/>
      <c r="R18" s="9" t="n">
        <v>2500</v>
      </c>
      <c r="S18" s="9" t="n">
        <v>2500</v>
      </c>
    </row>
    <row r="19" ht="13.2" customHeight="1" s="53">
      <c r="B19" s="7" t="inlineStr">
        <is>
          <t>Investment</t>
        </is>
      </c>
      <c r="C19" s="22" t="n">
        <v>4000</v>
      </c>
      <c r="D19" s="22" t="n">
        <v>6200</v>
      </c>
      <c r="E19" s="6" t="n"/>
      <c r="F19" s="7" t="inlineStr">
        <is>
          <t>Other Expenses</t>
        </is>
      </c>
      <c r="G19" s="24" t="n"/>
      <c r="H19" s="9" t="n">
        <v>2000</v>
      </c>
      <c r="I19" s="9" t="n">
        <v>1700</v>
      </c>
      <c r="K19" s="7" t="inlineStr">
        <is>
          <t xml:space="preserve">Internet </t>
        </is>
      </c>
      <c r="L19" s="7" t="n"/>
      <c r="M19" s="9" t="n">
        <v>1000</v>
      </c>
      <c r="N19" s="9" t="n">
        <v>999</v>
      </c>
      <c r="Q19" s="7" t="n"/>
      <c r="R19" s="9" t="n"/>
      <c r="S19" s="9" t="n"/>
    </row>
    <row r="20" ht="13.2" customHeight="1" s="53">
      <c r="C20" s="9" t="n"/>
      <c r="D20" s="9" t="n"/>
      <c r="E20" s="6" t="n"/>
      <c r="F20" s="7" t="inlineStr">
        <is>
          <t>Food Outside</t>
        </is>
      </c>
      <c r="G20" s="7" t="n"/>
      <c r="H20" s="9" t="n">
        <v>4000</v>
      </c>
      <c r="I20" s="9" t="n">
        <v>4350</v>
      </c>
      <c r="K20" s="7" t="inlineStr">
        <is>
          <t>Bus Pass</t>
        </is>
      </c>
      <c r="L20" s="7" t="n"/>
      <c r="M20" s="9" t="n">
        <v>1200</v>
      </c>
      <c r="N20" s="9" t="n">
        <v>1200</v>
      </c>
      <c r="P20" s="7" t="n"/>
      <c r="Q20" s="7" t="n"/>
      <c r="R20" s="9" t="n"/>
      <c r="S20" s="9" t="n"/>
    </row>
    <row r="21" ht="13.2" customHeight="1" s="53">
      <c r="B21" s="7" t="n"/>
      <c r="C21" s="9" t="n"/>
      <c r="D21" s="9" t="n"/>
      <c r="F21" s="7" t="inlineStr">
        <is>
          <t>Food Order</t>
        </is>
      </c>
      <c r="G21" s="23" t="n"/>
      <c r="H21" s="9" t="n">
        <v>5000</v>
      </c>
      <c r="I21" s="9" t="n">
        <v>4950</v>
      </c>
      <c r="L21" s="7" t="n"/>
      <c r="M21" s="9" t="n"/>
      <c r="N21" s="9" t="n"/>
      <c r="P21" s="7" t="n"/>
      <c r="Q21" s="7" t="n"/>
      <c r="R21" s="9" t="n"/>
      <c r="S21" s="9" t="n"/>
    </row>
    <row r="22" ht="13.2" customHeight="1" s="53">
      <c r="B22" s="7" t="n"/>
      <c r="C22" s="9" t="n"/>
      <c r="D22" s="9" t="n"/>
      <c r="G22" s="7" t="n"/>
      <c r="H22" s="9" t="n"/>
      <c r="I22" s="9" t="n"/>
      <c r="K22" s="7" t="n"/>
      <c r="L22" s="7" t="n"/>
      <c r="M22" s="9" t="n"/>
      <c r="N22" s="9" t="n"/>
      <c r="P22" s="7" t="n"/>
      <c r="Q22" s="7" t="n"/>
      <c r="R22" s="9" t="n"/>
      <c r="S22" s="9" t="n"/>
    </row>
    <row r="23" ht="13.2" customHeight="1" s="53">
      <c r="B23" s="7" t="n"/>
      <c r="C23" s="9" t="n"/>
      <c r="D23" s="9" t="n"/>
      <c r="F23" s="7" t="n"/>
      <c r="G23" s="7" t="n"/>
      <c r="H23" s="9" t="n"/>
      <c r="I23" s="9" t="n"/>
      <c r="K23" s="7" t="n"/>
      <c r="L23" s="7" t="n"/>
      <c r="M23" s="9" t="n"/>
      <c r="N23" s="9" t="n"/>
      <c r="P23" s="7" t="n"/>
      <c r="Q23" s="7" t="n"/>
      <c r="R23" s="9" t="n"/>
      <c r="S23" s="9" t="n"/>
    </row>
    <row r="24" ht="13.2" customHeight="1" s="53">
      <c r="B24" s="7" t="n"/>
      <c r="C24" s="9" t="n"/>
      <c r="D24" s="9" t="n"/>
      <c r="F24" s="7" t="n"/>
      <c r="G24" s="7" t="n"/>
      <c r="H24" s="9" t="n"/>
      <c r="I24" s="9" t="n"/>
      <c r="K24" s="7" t="n"/>
      <c r="L24" s="7" t="n"/>
      <c r="M24" s="9" t="n"/>
      <c r="N24" s="9" t="n"/>
      <c r="P24" s="7" t="n"/>
      <c r="Q24" s="7" t="n"/>
      <c r="R24" s="9" t="n"/>
      <c r="S24" s="9" t="n"/>
    </row>
    <row r="25" ht="13.2" customHeight="1" s="53">
      <c r="B25" s="7" t="inlineStr">
        <is>
          <t>Balance</t>
        </is>
      </c>
      <c r="C25" s="9">
        <f>SUM(C16:C24)</f>
        <v/>
      </c>
      <c r="D25" s="9">
        <f>SUM(D16:D24)</f>
        <v/>
      </c>
      <c r="F25" s="7" t="inlineStr">
        <is>
          <t>Balance</t>
        </is>
      </c>
      <c r="G25" s="7" t="n"/>
      <c r="H25" s="9">
        <f>SUM(H16:H24)</f>
        <v/>
      </c>
      <c r="I25" s="9">
        <f>SUM(I16:I24)</f>
        <v/>
      </c>
      <c r="K25" s="7" t="inlineStr">
        <is>
          <t>Balance</t>
        </is>
      </c>
      <c r="L25" s="7" t="n"/>
      <c r="M25" s="9">
        <f>SUM(M16:M20)</f>
        <v/>
      </c>
      <c r="N25" s="9">
        <f>SUM(N16:N20)</f>
        <v/>
      </c>
      <c r="P25" s="7" t="inlineStr">
        <is>
          <t>Balance</t>
        </is>
      </c>
      <c r="Q25" s="7" t="n"/>
      <c r="R25" s="9">
        <f>SUM(R16:R24)</f>
        <v/>
      </c>
      <c r="S25" s="9">
        <f>SUM(S16:S24)</f>
        <v/>
      </c>
    </row>
  </sheetData>
  <mergeCells count="10">
    <mergeCell ref="F14:I14"/>
    <mergeCell ref="B3:D3"/>
    <mergeCell ref="B5:D5"/>
    <mergeCell ref="B14:D14"/>
    <mergeCell ref="P14:S14"/>
    <mergeCell ref="K14:N14"/>
    <mergeCell ref="F2:I2"/>
    <mergeCell ref="P7:S8"/>
    <mergeCell ref="K7:N8"/>
    <mergeCell ref="B2:D2"/>
  </mergeCells>
  <dataValidations count="1">
    <dataValidation sqref="G4:G12 G16:G25 L16:L25 Q16:Q25" showDropDown="1" showInputMessage="0" showErrorMessage="1" allowBlank="1" type="custom">
      <formula1>OR(NOT(ISERROR(DATEVALUE(G4))), AND(ISNUMBER(G4), LEFT(CELL("format", G4))="D"))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B2:S25"/>
  <sheetViews>
    <sheetView showGridLines="0" zoomScale="95" workbookViewId="0">
      <selection activeCell="D8" sqref="D8"/>
    </sheetView>
  </sheetViews>
  <sheetFormatPr baseColWidth="8" defaultColWidth="12.6640625" defaultRowHeight="15.75" customHeight="1"/>
  <cols>
    <col width="2.6640625" customWidth="1" style="53" min="1" max="1"/>
    <col width="11.33203125" customWidth="1" style="53" min="3" max="4"/>
    <col width="2.6640625" customWidth="1" style="53" min="5" max="5"/>
    <col width="14.44140625" customWidth="1" style="53" min="6" max="6"/>
    <col width="5.109375" customWidth="1" style="53" min="7" max="7"/>
    <col width="11.33203125" customWidth="1" style="53" min="8" max="9"/>
    <col width="2.6640625" customWidth="1" style="53" min="10" max="10"/>
    <col width="14.44140625" customWidth="1" style="53" min="11" max="11"/>
    <col width="5.109375" customWidth="1" style="53" min="12" max="12"/>
    <col width="11.33203125" customWidth="1" style="53" min="13" max="14"/>
    <col width="2.6640625" customWidth="1" style="53" min="15" max="15"/>
    <col width="14.44140625" customWidth="1" style="53" min="16" max="16"/>
    <col width="5.109375" customWidth="1" style="53" min="17" max="17"/>
    <col width="11.33203125" customWidth="1" style="53" min="18" max="19"/>
  </cols>
  <sheetData>
    <row r="2" ht="15.75" customHeight="1" s="53">
      <c r="B2" s="71" t="inlineStr">
        <is>
          <t>November</t>
        </is>
      </c>
      <c r="E2" s="1" t="n"/>
      <c r="F2" s="66" t="inlineStr">
        <is>
          <t>Income</t>
        </is>
      </c>
      <c r="K2" s="25" t="n"/>
      <c r="L2" s="26" t="n"/>
      <c r="M2" s="26" t="n"/>
      <c r="N2" s="27" t="n"/>
      <c r="P2" s="25" t="n"/>
      <c r="Q2" s="26" t="n"/>
      <c r="R2" s="26" t="n"/>
      <c r="S2" s="27" t="n"/>
    </row>
    <row r="3" ht="13.2" customHeight="1" s="53">
      <c r="B3" s="61" t="inlineStr">
        <is>
          <t>Monthly Budget</t>
        </is>
      </c>
      <c r="F3" s="2" t="n"/>
      <c r="G3" s="3" t="inlineStr">
        <is>
          <t xml:space="preserve">Date </t>
        </is>
      </c>
      <c r="H3" s="4" t="inlineStr">
        <is>
          <t xml:space="preserve">Budget </t>
        </is>
      </c>
      <c r="I3" s="4" t="inlineStr">
        <is>
          <t>Actual</t>
        </is>
      </c>
      <c r="K3" s="28" t="n"/>
      <c r="N3" s="29" t="n"/>
      <c r="P3" s="28" t="n"/>
      <c r="S3" s="29" t="n"/>
    </row>
    <row r="4" ht="13.2" customHeight="1" s="53">
      <c r="B4" s="5" t="n"/>
      <c r="C4" s="5" t="n"/>
      <c r="D4" s="5" t="n"/>
      <c r="E4" s="6" t="n"/>
      <c r="F4" s="7" t="inlineStr">
        <is>
          <t xml:space="preserve">Pay Check </t>
        </is>
      </c>
      <c r="G4" s="8" t="n"/>
      <c r="H4" s="9" t="n">
        <v>65000</v>
      </c>
      <c r="I4" s="9" t="n">
        <v>65000</v>
      </c>
      <c r="K4" s="28" t="n"/>
      <c r="N4" s="29" t="n"/>
      <c r="P4" s="28" t="n"/>
      <c r="S4" s="29" t="n"/>
    </row>
    <row r="5" ht="13.2" customHeight="1" s="53">
      <c r="B5" s="62" t="inlineStr">
        <is>
          <t xml:space="preserve">Cash Flow </t>
        </is>
      </c>
      <c r="E5" s="6" t="n"/>
      <c r="F5" s="7" t="inlineStr">
        <is>
          <t>Other Income</t>
        </is>
      </c>
      <c r="G5" s="8" t="n"/>
      <c r="H5" s="9" t="n">
        <v>3000</v>
      </c>
      <c r="I5" s="9" t="n">
        <v>6250</v>
      </c>
      <c r="K5" s="28" t="n"/>
      <c r="N5" s="29" t="n"/>
      <c r="P5" s="28" t="n"/>
      <c r="S5" s="29" t="n"/>
    </row>
    <row r="6" ht="13.2" customHeight="1" s="53">
      <c r="B6" s="10" t="n"/>
      <c r="C6" s="11" t="inlineStr">
        <is>
          <t xml:space="preserve">Budget </t>
        </is>
      </c>
      <c r="D6" s="11" t="inlineStr">
        <is>
          <t>Actual</t>
        </is>
      </c>
      <c r="E6" s="6" t="n"/>
      <c r="F6" s="7" t="n"/>
      <c r="G6" s="8" t="n"/>
      <c r="H6" s="9" t="n"/>
      <c r="I6" s="9" t="n"/>
      <c r="K6" s="28" t="n"/>
      <c r="N6" s="29" t="n"/>
      <c r="P6" s="28" t="n"/>
      <c r="S6" s="29" t="n"/>
    </row>
    <row r="7" ht="13.2" customHeight="1" s="53">
      <c r="B7" s="7" t="inlineStr">
        <is>
          <t xml:space="preserve">Start Balance </t>
        </is>
      </c>
      <c r="C7" s="9" t="n">
        <v>8000</v>
      </c>
      <c r="D7" s="9" t="n">
        <v>9600</v>
      </c>
      <c r="F7" s="7" t="n"/>
      <c r="G7" s="8" t="n"/>
      <c r="H7" s="9" t="n"/>
      <c r="I7" s="9" t="n"/>
      <c r="K7" s="67">
        <f>C12</f>
        <v/>
      </c>
      <c r="N7" s="68" t="n"/>
      <c r="P7" s="67">
        <f>D12</f>
        <v/>
      </c>
      <c r="S7" s="68" t="n"/>
    </row>
    <row r="8" ht="13.2" customHeight="1" s="53">
      <c r="B8" s="7" t="inlineStr">
        <is>
          <t>Income</t>
        </is>
      </c>
      <c r="C8" s="9" t="n">
        <v>68000</v>
      </c>
      <c r="D8" s="9" t="n">
        <v>71250</v>
      </c>
      <c r="F8" s="7" t="n"/>
      <c r="G8" s="8" t="n"/>
      <c r="H8" s="9" t="n"/>
      <c r="I8" s="9" t="n"/>
      <c r="K8" s="69" t="n"/>
      <c r="N8" s="68" t="n"/>
      <c r="P8" s="69" t="n"/>
      <c r="S8" s="68" t="n"/>
    </row>
    <row r="9" ht="13.2" customHeight="1" s="53">
      <c r="B9" s="7" t="inlineStr">
        <is>
          <t>Expense</t>
        </is>
      </c>
      <c r="C9" s="9" t="n">
        <v>18500</v>
      </c>
      <c r="D9" s="9" t="n">
        <v>19350</v>
      </c>
      <c r="F9" s="7" t="n"/>
      <c r="G9" s="8" t="n"/>
      <c r="H9" s="9" t="n"/>
      <c r="I9" s="9" t="n"/>
      <c r="K9" s="28" t="n"/>
      <c r="N9" s="29" t="n"/>
      <c r="P9" s="28" t="n"/>
      <c r="S9" s="29" t="n"/>
    </row>
    <row r="10" ht="13.2" customHeight="1" s="53">
      <c r="B10" s="7" t="inlineStr">
        <is>
          <t xml:space="preserve">Debt </t>
        </is>
      </c>
      <c r="C10" s="9" t="n">
        <v>7000</v>
      </c>
      <c r="D10" s="9" t="n">
        <v>7000</v>
      </c>
      <c r="F10" s="7" t="n"/>
      <c r="G10" s="8" t="n"/>
      <c r="H10" s="9" t="n"/>
      <c r="I10" s="9" t="n"/>
      <c r="K10" s="28" t="n"/>
      <c r="N10" s="29" t="n"/>
      <c r="P10" s="28" t="n"/>
      <c r="S10" s="29" t="n"/>
    </row>
    <row r="11" ht="13.2" customHeight="1" s="53">
      <c r="B11" s="7" t="inlineStr">
        <is>
          <t>Savings</t>
        </is>
      </c>
      <c r="C11" s="9" t="n">
        <v>12000</v>
      </c>
      <c r="D11" s="9" t="n">
        <v>13500</v>
      </c>
      <c r="F11" s="7" t="n"/>
      <c r="G11" s="8" t="n"/>
      <c r="H11" s="9" t="n"/>
      <c r="I11" s="9" t="n"/>
      <c r="K11" s="28" t="n"/>
      <c r="N11" s="29" t="n"/>
      <c r="P11" s="28" t="n"/>
      <c r="S11" s="29" t="n"/>
    </row>
    <row r="12" ht="13.2" customHeight="1" s="53">
      <c r="B12" s="7" t="inlineStr">
        <is>
          <t>Balance</t>
        </is>
      </c>
      <c r="C12" s="9">
        <f>C7+C8-C9-C10-C11</f>
        <v/>
      </c>
      <c r="D12" s="9">
        <f>D7+D8-D9-D10-D11</f>
        <v/>
      </c>
      <c r="F12" s="7" t="inlineStr">
        <is>
          <t>Balance</t>
        </is>
      </c>
      <c r="G12" s="8" t="n"/>
      <c r="H12" s="9">
        <f>SUM(H4:H11)</f>
        <v/>
      </c>
      <c r="I12" s="9">
        <f>SUM(I4:I11)</f>
        <v/>
      </c>
      <c r="K12" s="30" t="n"/>
      <c r="L12" s="31" t="n"/>
      <c r="M12" s="31" t="n"/>
      <c r="N12" s="32" t="n"/>
      <c r="P12" s="30" t="n"/>
      <c r="Q12" s="31" t="n"/>
      <c r="R12" s="31" t="n"/>
      <c r="S12" s="32" t="n"/>
    </row>
    <row r="13" ht="13.2" customHeight="1" s="53">
      <c r="B13" s="12" t="inlineStr">
        <is>
          <t>Spent</t>
        </is>
      </c>
      <c r="C13" s="13">
        <f>SUM(C9:C12)</f>
        <v/>
      </c>
      <c r="D13" s="13">
        <f>SUM(D9:D12)</f>
        <v/>
      </c>
    </row>
    <row r="14" ht="13.2" customHeight="1" s="53">
      <c r="B14" s="65" t="inlineStr">
        <is>
          <t>Savings &amp; Investments</t>
        </is>
      </c>
      <c r="E14" s="5" t="n"/>
      <c r="F14" s="60" t="inlineStr">
        <is>
          <t>Expenses</t>
        </is>
      </c>
      <c r="K14" s="63" t="inlineStr">
        <is>
          <t xml:space="preserve">Bills </t>
        </is>
      </c>
      <c r="P14" s="64" t="inlineStr">
        <is>
          <t xml:space="preserve">Debts </t>
        </is>
      </c>
    </row>
    <row r="15" ht="13.2" customHeight="1" s="53">
      <c r="B15" s="14" t="n"/>
      <c r="C15" s="15" t="inlineStr">
        <is>
          <t xml:space="preserve">Budget </t>
        </is>
      </c>
      <c r="D15" s="15" t="inlineStr">
        <is>
          <t>Actual</t>
        </is>
      </c>
      <c r="F15" s="16" t="n"/>
      <c r="G15" s="17" t="inlineStr">
        <is>
          <t>Date</t>
        </is>
      </c>
      <c r="H15" s="17" t="inlineStr">
        <is>
          <t>Budget</t>
        </is>
      </c>
      <c r="I15" s="17" t="inlineStr">
        <is>
          <t>Actual</t>
        </is>
      </c>
      <c r="K15" s="18" t="n"/>
      <c r="L15" s="19" t="inlineStr">
        <is>
          <t xml:space="preserve">Date </t>
        </is>
      </c>
      <c r="M15" s="19" t="inlineStr">
        <is>
          <t xml:space="preserve">Budget </t>
        </is>
      </c>
      <c r="N15" s="19" t="inlineStr">
        <is>
          <t xml:space="preserve">Actual </t>
        </is>
      </c>
      <c r="P15" s="20" t="n"/>
      <c r="Q15" s="21" t="inlineStr">
        <is>
          <t xml:space="preserve">Date </t>
        </is>
      </c>
      <c r="R15" s="21" t="inlineStr">
        <is>
          <t xml:space="preserve">Budget </t>
        </is>
      </c>
      <c r="S15" s="21" t="inlineStr">
        <is>
          <t xml:space="preserve">Actual </t>
        </is>
      </c>
    </row>
    <row r="16" ht="13.2" customHeight="1" s="53">
      <c r="B16" s="7" t="inlineStr">
        <is>
          <t>Emergency</t>
        </is>
      </c>
      <c r="C16" s="22" t="n">
        <v>5000</v>
      </c>
      <c r="D16" s="22" t="n">
        <v>5000</v>
      </c>
      <c r="E16" s="6" t="n"/>
      <c r="F16" s="7" t="inlineStr">
        <is>
          <t xml:space="preserve">Bus </t>
        </is>
      </c>
      <c r="G16" s="23" t="n"/>
      <c r="H16" s="9" t="n">
        <v>1500</v>
      </c>
      <c r="I16" s="9" t="n">
        <v>1350</v>
      </c>
      <c r="K16" s="7" t="inlineStr">
        <is>
          <t xml:space="preserve">Rent </t>
        </is>
      </c>
      <c r="L16" s="7" t="n"/>
      <c r="M16" s="9" t="n">
        <v>15000</v>
      </c>
      <c r="N16" s="9" t="n">
        <v>15000</v>
      </c>
      <c r="P16" s="7" t="inlineStr">
        <is>
          <t xml:space="preserve">Visa Card </t>
        </is>
      </c>
      <c r="Q16" s="7" t="n"/>
      <c r="R16" s="9" t="n">
        <v>2500</v>
      </c>
      <c r="S16" s="9" t="n">
        <v>2500</v>
      </c>
    </row>
    <row r="17" ht="13.2" customHeight="1" s="53">
      <c r="B17" s="7" t="inlineStr">
        <is>
          <t xml:space="preserve">Vacation </t>
        </is>
      </c>
      <c r="C17" s="22" t="n">
        <v>2000</v>
      </c>
      <c r="D17" s="22" t="n">
        <v>1500</v>
      </c>
      <c r="E17" s="6" t="n"/>
      <c r="F17" s="7" t="inlineStr">
        <is>
          <t>Uber/Rapido</t>
        </is>
      </c>
      <c r="G17" s="7" t="n"/>
      <c r="H17" s="9" t="n">
        <v>2500</v>
      </c>
      <c r="I17" s="9" t="n">
        <v>2900</v>
      </c>
      <c r="K17" s="7" t="inlineStr">
        <is>
          <t>Electricity</t>
        </is>
      </c>
      <c r="L17" s="7" t="n"/>
      <c r="M17" s="9" t="n">
        <v>2000</v>
      </c>
      <c r="N17" s="9" t="n">
        <v>2250</v>
      </c>
      <c r="P17" s="7" t="inlineStr">
        <is>
          <t>Mastercaard</t>
        </is>
      </c>
      <c r="Q17" s="7" t="n"/>
      <c r="R17" s="9" t="n">
        <v>2000</v>
      </c>
      <c r="S17" s="9" t="n">
        <v>2000</v>
      </c>
    </row>
    <row r="18" ht="13.2" customHeight="1" s="53">
      <c r="B18" s="7" t="inlineStr">
        <is>
          <t xml:space="preserve">Other </t>
        </is>
      </c>
      <c r="C18" s="22" t="n">
        <v>1000</v>
      </c>
      <c r="D18" s="22" t="n">
        <v>800</v>
      </c>
      <c r="E18" s="6" t="n"/>
      <c r="F18" s="7" t="inlineStr">
        <is>
          <t>Dining Out</t>
        </is>
      </c>
      <c r="G18" s="7" t="n"/>
      <c r="H18" s="9" t="n">
        <v>3500</v>
      </c>
      <c r="I18" s="9" t="n">
        <v>4100</v>
      </c>
      <c r="K18" s="7" t="inlineStr">
        <is>
          <t>Cell Phone</t>
        </is>
      </c>
      <c r="L18" s="7" t="n"/>
      <c r="M18" s="9" t="n">
        <v>800</v>
      </c>
      <c r="N18" s="9" t="n">
        <v>799</v>
      </c>
      <c r="P18" s="7" t="inlineStr">
        <is>
          <t>Personal Loan</t>
        </is>
      </c>
      <c r="Q18" s="7" t="n"/>
      <c r="R18" s="9" t="n">
        <v>2500</v>
      </c>
      <c r="S18" s="9" t="n">
        <v>2500</v>
      </c>
    </row>
    <row r="19" ht="13.2" customHeight="1" s="53">
      <c r="B19" s="7" t="inlineStr">
        <is>
          <t>Investment</t>
        </is>
      </c>
      <c r="C19" s="22" t="n">
        <v>4000</v>
      </c>
      <c r="D19" s="22" t="n">
        <v>6200</v>
      </c>
      <c r="E19" s="6" t="n"/>
      <c r="F19" s="7" t="inlineStr">
        <is>
          <t>Other Expenses</t>
        </is>
      </c>
      <c r="G19" s="24" t="n"/>
      <c r="H19" s="9" t="n">
        <v>2000</v>
      </c>
      <c r="I19" s="9" t="n">
        <v>1700</v>
      </c>
      <c r="K19" s="7" t="inlineStr">
        <is>
          <t xml:space="preserve">Internet </t>
        </is>
      </c>
      <c r="L19" s="7" t="n"/>
      <c r="M19" s="9" t="n">
        <v>1000</v>
      </c>
      <c r="N19" s="9" t="n">
        <v>999</v>
      </c>
      <c r="Q19" s="7" t="n"/>
      <c r="R19" s="9" t="n"/>
      <c r="S19" s="9" t="n"/>
    </row>
    <row r="20" ht="13.2" customHeight="1" s="53">
      <c r="C20" s="9" t="n"/>
      <c r="D20" s="9" t="n"/>
      <c r="E20" s="6" t="n"/>
      <c r="F20" s="7" t="inlineStr">
        <is>
          <t>Food Outside</t>
        </is>
      </c>
      <c r="G20" s="7" t="n"/>
      <c r="H20" s="9" t="n">
        <v>4000</v>
      </c>
      <c r="I20" s="9" t="n">
        <v>4350</v>
      </c>
      <c r="K20" s="7" t="inlineStr">
        <is>
          <t>Bus Pass</t>
        </is>
      </c>
      <c r="L20" s="7" t="n"/>
      <c r="M20" s="9" t="n">
        <v>1200</v>
      </c>
      <c r="N20" s="9" t="n">
        <v>1200</v>
      </c>
      <c r="P20" s="7" t="n"/>
      <c r="Q20" s="7" t="n"/>
      <c r="R20" s="9" t="n"/>
      <c r="S20" s="9" t="n"/>
    </row>
    <row r="21" ht="13.2" customHeight="1" s="53">
      <c r="B21" s="7" t="n"/>
      <c r="C21" s="9" t="n"/>
      <c r="D21" s="9" t="n"/>
      <c r="F21" s="7" t="inlineStr">
        <is>
          <t>Food Order</t>
        </is>
      </c>
      <c r="G21" s="23" t="n"/>
      <c r="H21" s="9" t="n">
        <v>5000</v>
      </c>
      <c r="I21" s="9" t="n">
        <v>4950</v>
      </c>
      <c r="L21" s="7" t="n"/>
      <c r="M21" s="9" t="n"/>
      <c r="N21" s="9" t="n"/>
      <c r="P21" s="7" t="n"/>
      <c r="Q21" s="7" t="n"/>
      <c r="R21" s="9" t="n"/>
      <c r="S21" s="9" t="n"/>
    </row>
    <row r="22" ht="13.2" customHeight="1" s="53">
      <c r="B22" s="7" t="n"/>
      <c r="C22" s="9" t="n"/>
      <c r="D22" s="9" t="n"/>
      <c r="G22" s="7" t="n"/>
      <c r="H22" s="9" t="n"/>
      <c r="I22" s="9" t="n"/>
      <c r="K22" s="7" t="n"/>
      <c r="L22" s="7" t="n"/>
      <c r="M22" s="9" t="n"/>
      <c r="N22" s="9" t="n"/>
      <c r="P22" s="7" t="n"/>
      <c r="Q22" s="7" t="n"/>
      <c r="R22" s="9" t="n"/>
      <c r="S22" s="9" t="n"/>
    </row>
    <row r="23" ht="13.2" customHeight="1" s="53">
      <c r="B23" s="7" t="n"/>
      <c r="C23" s="9" t="n"/>
      <c r="D23" s="9" t="n"/>
      <c r="F23" s="7" t="n"/>
      <c r="G23" s="7" t="n"/>
      <c r="H23" s="9" t="n"/>
      <c r="I23" s="9" t="n"/>
      <c r="K23" s="7" t="n"/>
      <c r="L23" s="7" t="n"/>
      <c r="M23" s="9" t="n"/>
      <c r="N23" s="9" t="n"/>
      <c r="P23" s="7" t="n"/>
      <c r="Q23" s="7" t="n"/>
      <c r="R23" s="9" t="n"/>
      <c r="S23" s="9" t="n"/>
    </row>
    <row r="24" ht="13.2" customHeight="1" s="53">
      <c r="B24" s="7" t="n"/>
      <c r="C24" s="9" t="n"/>
      <c r="D24" s="9" t="n"/>
      <c r="F24" s="7" t="n"/>
      <c r="G24" s="7" t="n"/>
      <c r="H24" s="9" t="n"/>
      <c r="I24" s="9" t="n"/>
      <c r="K24" s="7" t="n"/>
      <c r="L24" s="7" t="n"/>
      <c r="M24" s="9" t="n"/>
      <c r="N24" s="9" t="n"/>
      <c r="P24" s="7" t="n"/>
      <c r="Q24" s="7" t="n"/>
      <c r="R24" s="9" t="n"/>
      <c r="S24" s="9" t="n"/>
    </row>
    <row r="25" ht="13.2" customHeight="1" s="53">
      <c r="B25" s="7" t="inlineStr">
        <is>
          <t>Balance</t>
        </is>
      </c>
      <c r="C25" s="9">
        <f>SUM(C16:C24)</f>
        <v/>
      </c>
      <c r="D25" s="9">
        <f>SUM(D16:D24)</f>
        <v/>
      </c>
      <c r="F25" s="7" t="inlineStr">
        <is>
          <t>Balance</t>
        </is>
      </c>
      <c r="G25" s="7" t="n"/>
      <c r="H25" s="9">
        <f>SUM(H16:H24)</f>
        <v/>
      </c>
      <c r="I25" s="9">
        <f>SUM(I16:I24)</f>
        <v/>
      </c>
      <c r="K25" s="7" t="inlineStr">
        <is>
          <t>Balance</t>
        </is>
      </c>
      <c r="L25" s="7" t="n"/>
      <c r="M25" s="9">
        <f>SUM(M16:M20)</f>
        <v/>
      </c>
      <c r="N25" s="9">
        <f>SUM(N16:N20)</f>
        <v/>
      </c>
      <c r="P25" s="7" t="inlineStr">
        <is>
          <t>Balance</t>
        </is>
      </c>
      <c r="Q25" s="7" t="n"/>
      <c r="R25" s="9">
        <f>SUM(R16:R24)</f>
        <v/>
      </c>
      <c r="S25" s="9">
        <f>SUM(S16:S24)</f>
        <v/>
      </c>
    </row>
  </sheetData>
  <mergeCells count="10">
    <mergeCell ref="F14:I14"/>
    <mergeCell ref="B3:D3"/>
    <mergeCell ref="B5:D5"/>
    <mergeCell ref="B14:D14"/>
    <mergeCell ref="P14:S14"/>
    <mergeCell ref="K14:N14"/>
    <mergeCell ref="F2:I2"/>
    <mergeCell ref="P7:S8"/>
    <mergeCell ref="K7:N8"/>
    <mergeCell ref="B2:D2"/>
  </mergeCells>
  <dataValidations count="1">
    <dataValidation sqref="G4:G12 G16:G25 L16:L25 Q16:Q25" showDropDown="1" showInputMessage="0" showErrorMessage="1" allowBlank="1" type="custom">
      <formula1>OR(NOT(ISERROR(DATEVALUE(G4))), AND(ISNUMBER(G4), LEFT(CELL("format", G4))="D"))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B2:S25"/>
  <sheetViews>
    <sheetView showGridLines="0" zoomScale="95" workbookViewId="0">
      <selection activeCell="D8" sqref="D8"/>
    </sheetView>
  </sheetViews>
  <sheetFormatPr baseColWidth="8" defaultColWidth="12.6640625" defaultRowHeight="15.75" customHeight="1"/>
  <cols>
    <col width="2.6640625" customWidth="1" style="53" min="1" max="1"/>
    <col width="11.33203125" customWidth="1" style="53" min="3" max="4"/>
    <col width="2.6640625" customWidth="1" style="53" min="5" max="5"/>
    <col width="14.44140625" customWidth="1" style="53" min="6" max="6"/>
    <col width="5.109375" customWidth="1" style="53" min="7" max="7"/>
    <col width="11.33203125" customWidth="1" style="53" min="8" max="9"/>
    <col width="2.6640625" customWidth="1" style="53" min="10" max="10"/>
    <col width="14.44140625" customWidth="1" style="53" min="11" max="11"/>
    <col width="5.109375" customWidth="1" style="53" min="12" max="12"/>
    <col width="11.33203125" customWidth="1" style="53" min="13" max="14"/>
    <col width="2.6640625" customWidth="1" style="53" min="15" max="15"/>
    <col width="14.44140625" customWidth="1" style="53" min="16" max="16"/>
    <col width="5.109375" customWidth="1" style="53" min="17" max="17"/>
    <col width="11.33203125" customWidth="1" style="53" min="18" max="19"/>
  </cols>
  <sheetData>
    <row r="2" ht="15.75" customHeight="1" s="53">
      <c r="B2" s="71" t="inlineStr">
        <is>
          <t>December</t>
        </is>
      </c>
      <c r="E2" s="1" t="n"/>
      <c r="F2" s="66" t="inlineStr">
        <is>
          <t>Income</t>
        </is>
      </c>
      <c r="K2" s="25" t="n"/>
      <c r="L2" s="26" t="n"/>
      <c r="M2" s="26" t="n"/>
      <c r="N2" s="27" t="n"/>
      <c r="P2" s="25" t="n"/>
      <c r="Q2" s="26" t="n"/>
      <c r="R2" s="26" t="n"/>
      <c r="S2" s="27" t="n"/>
    </row>
    <row r="3" ht="13.2" customHeight="1" s="53">
      <c r="B3" s="61" t="inlineStr">
        <is>
          <t>Monthly Budget</t>
        </is>
      </c>
      <c r="F3" s="2" t="n"/>
      <c r="G3" s="3" t="inlineStr">
        <is>
          <t xml:space="preserve">Date </t>
        </is>
      </c>
      <c r="H3" s="4" t="inlineStr">
        <is>
          <t xml:space="preserve">Budget </t>
        </is>
      </c>
      <c r="I3" s="4" t="inlineStr">
        <is>
          <t>Actual</t>
        </is>
      </c>
      <c r="K3" s="28" t="n"/>
      <c r="N3" s="29" t="n"/>
      <c r="P3" s="28" t="n"/>
      <c r="S3" s="29" t="n"/>
    </row>
    <row r="4" ht="13.2" customHeight="1" s="53">
      <c r="B4" s="5" t="n"/>
      <c r="C4" s="5" t="n"/>
      <c r="D4" s="5" t="n"/>
      <c r="E4" s="6" t="n"/>
      <c r="F4" s="7" t="inlineStr">
        <is>
          <t xml:space="preserve">Pay Check </t>
        </is>
      </c>
      <c r="G4" s="8" t="n"/>
      <c r="H4" s="9" t="n">
        <v>65000</v>
      </c>
      <c r="I4" s="9" t="n">
        <v>65000</v>
      </c>
      <c r="K4" s="28" t="n"/>
      <c r="N4" s="29" t="n"/>
      <c r="P4" s="28" t="n"/>
      <c r="S4" s="29" t="n"/>
    </row>
    <row r="5" ht="13.2" customHeight="1" s="53">
      <c r="B5" s="62" t="inlineStr">
        <is>
          <t xml:space="preserve">Cash Flow </t>
        </is>
      </c>
      <c r="E5" s="6" t="n"/>
      <c r="F5" s="7" t="inlineStr">
        <is>
          <t>Other Income</t>
        </is>
      </c>
      <c r="G5" s="8" t="n"/>
      <c r="H5" s="9" t="n">
        <v>3000</v>
      </c>
      <c r="I5" s="9" t="n">
        <v>6250</v>
      </c>
      <c r="K5" s="28" t="n"/>
      <c r="N5" s="29" t="n"/>
      <c r="P5" s="28" t="n"/>
      <c r="S5" s="29" t="n"/>
    </row>
    <row r="6" ht="13.2" customHeight="1" s="53">
      <c r="B6" s="10" t="n"/>
      <c r="C6" s="11" t="inlineStr">
        <is>
          <t xml:space="preserve">Budget </t>
        </is>
      </c>
      <c r="D6" s="11" t="inlineStr">
        <is>
          <t>Actual</t>
        </is>
      </c>
      <c r="E6" s="6" t="n"/>
      <c r="F6" s="7" t="n"/>
      <c r="G6" s="8" t="n"/>
      <c r="H6" s="9" t="n"/>
      <c r="I6" s="9" t="n"/>
      <c r="K6" s="28" t="n"/>
      <c r="N6" s="29" t="n"/>
      <c r="P6" s="28" t="n"/>
      <c r="S6" s="29" t="n"/>
    </row>
    <row r="7" ht="13.2" customHeight="1" s="53">
      <c r="B7" s="7" t="inlineStr">
        <is>
          <t xml:space="preserve">Start Balance </t>
        </is>
      </c>
      <c r="C7" s="9" t="n">
        <v>8000</v>
      </c>
      <c r="D7" s="9" t="n">
        <v>12400</v>
      </c>
      <c r="F7" s="7" t="n"/>
      <c r="G7" s="8" t="n"/>
      <c r="H7" s="9" t="n"/>
      <c r="I7" s="9" t="n"/>
      <c r="K7" s="67">
        <f>C12</f>
        <v/>
      </c>
      <c r="N7" s="68" t="n"/>
      <c r="P7" s="67">
        <f>D12</f>
        <v/>
      </c>
      <c r="S7" s="68" t="n"/>
    </row>
    <row r="8" ht="13.2" customHeight="1" s="53">
      <c r="B8" s="7" t="inlineStr">
        <is>
          <t>Income</t>
        </is>
      </c>
      <c r="C8" s="9" t="n">
        <v>68000</v>
      </c>
      <c r="D8" s="9" t="n">
        <v>71250</v>
      </c>
      <c r="F8" s="7" t="n"/>
      <c r="G8" s="8" t="n"/>
      <c r="H8" s="9" t="n"/>
      <c r="I8" s="9" t="n"/>
      <c r="K8" s="69" t="n"/>
      <c r="N8" s="68" t="n"/>
      <c r="P8" s="69" t="n"/>
      <c r="S8" s="68" t="n"/>
    </row>
    <row r="9" ht="13.2" customHeight="1" s="53">
      <c r="B9" s="7" t="inlineStr">
        <is>
          <t>Expense</t>
        </is>
      </c>
      <c r="C9" s="9" t="n">
        <v>18500</v>
      </c>
      <c r="D9" s="9" t="n">
        <v>19350</v>
      </c>
      <c r="F9" s="7" t="n"/>
      <c r="G9" s="8" t="n"/>
      <c r="H9" s="9" t="n"/>
      <c r="I9" s="9" t="n"/>
      <c r="K9" s="28" t="n"/>
      <c r="N9" s="29" t="n"/>
      <c r="P9" s="28" t="n"/>
      <c r="S9" s="29" t="n"/>
    </row>
    <row r="10" ht="13.2" customHeight="1" s="53">
      <c r="B10" s="7" t="inlineStr">
        <is>
          <t xml:space="preserve">Debt </t>
        </is>
      </c>
      <c r="C10" s="9" t="n">
        <v>7000</v>
      </c>
      <c r="D10" s="9" t="n">
        <v>7000</v>
      </c>
      <c r="F10" s="7" t="n"/>
      <c r="G10" s="8" t="n"/>
      <c r="H10" s="9" t="n"/>
      <c r="I10" s="9" t="n"/>
      <c r="K10" s="28" t="n"/>
      <c r="N10" s="29" t="n"/>
      <c r="P10" s="28" t="n"/>
      <c r="S10" s="29" t="n"/>
    </row>
    <row r="11" ht="13.2" customHeight="1" s="53">
      <c r="B11" s="7" t="inlineStr">
        <is>
          <t>Savings</t>
        </is>
      </c>
      <c r="C11" s="9" t="n">
        <v>12000</v>
      </c>
      <c r="D11" s="9" t="n">
        <v>13500</v>
      </c>
      <c r="F11" s="7" t="n"/>
      <c r="G11" s="8" t="n"/>
      <c r="H11" s="9" t="n"/>
      <c r="I11" s="9" t="n"/>
      <c r="K11" s="28" t="n"/>
      <c r="N11" s="29" t="n"/>
      <c r="P11" s="28" t="n"/>
      <c r="S11" s="29" t="n"/>
    </row>
    <row r="12" ht="13.2" customHeight="1" s="53">
      <c r="B12" s="7" t="inlineStr">
        <is>
          <t>Balance</t>
        </is>
      </c>
      <c r="C12" s="9">
        <f>C7+C8-C9-C10-C11</f>
        <v/>
      </c>
      <c r="D12" s="9">
        <f>D7+D8-D9-D10-D11</f>
        <v/>
      </c>
      <c r="F12" s="7" t="inlineStr">
        <is>
          <t>Balance</t>
        </is>
      </c>
      <c r="G12" s="8" t="n"/>
      <c r="H12" s="9">
        <f>SUM(H4:H11)</f>
        <v/>
      </c>
      <c r="I12" s="9">
        <f>SUM(I4:I11)</f>
        <v/>
      </c>
      <c r="K12" s="30" t="n"/>
      <c r="L12" s="31" t="n"/>
      <c r="M12" s="31" t="n"/>
      <c r="N12" s="32" t="n"/>
      <c r="P12" s="30" t="n"/>
      <c r="Q12" s="31" t="n"/>
      <c r="R12" s="31" t="n"/>
      <c r="S12" s="32" t="n"/>
    </row>
    <row r="13" ht="13.2" customHeight="1" s="53">
      <c r="B13" s="12" t="inlineStr">
        <is>
          <t>Spent</t>
        </is>
      </c>
      <c r="C13" s="13">
        <f>SUM(C9:C12)</f>
        <v/>
      </c>
      <c r="D13" s="13">
        <f>SUM(D9:D12)</f>
        <v/>
      </c>
    </row>
    <row r="14" ht="13.2" customHeight="1" s="53">
      <c r="B14" s="65" t="inlineStr">
        <is>
          <t>Savings &amp; Investments</t>
        </is>
      </c>
      <c r="E14" s="5" t="n"/>
      <c r="F14" s="60" t="inlineStr">
        <is>
          <t>Expenses</t>
        </is>
      </c>
      <c r="K14" s="63" t="inlineStr">
        <is>
          <t xml:space="preserve">Bills </t>
        </is>
      </c>
      <c r="P14" s="64" t="inlineStr">
        <is>
          <t xml:space="preserve">Debts </t>
        </is>
      </c>
    </row>
    <row r="15" ht="13.2" customHeight="1" s="53">
      <c r="B15" s="14" t="n"/>
      <c r="C15" s="15" t="inlineStr">
        <is>
          <t xml:space="preserve">Budget </t>
        </is>
      </c>
      <c r="D15" s="15" t="inlineStr">
        <is>
          <t>Actual</t>
        </is>
      </c>
      <c r="F15" s="16" t="n"/>
      <c r="G15" s="17" t="inlineStr">
        <is>
          <t>Date</t>
        </is>
      </c>
      <c r="H15" s="17" t="inlineStr">
        <is>
          <t>Budget</t>
        </is>
      </c>
      <c r="I15" s="17" t="inlineStr">
        <is>
          <t>Actual</t>
        </is>
      </c>
      <c r="K15" s="18" t="n"/>
      <c r="L15" s="19" t="inlineStr">
        <is>
          <t xml:space="preserve">Date </t>
        </is>
      </c>
      <c r="M15" s="19" t="inlineStr">
        <is>
          <t xml:space="preserve">Budget </t>
        </is>
      </c>
      <c r="N15" s="19" t="inlineStr">
        <is>
          <t xml:space="preserve">Actual </t>
        </is>
      </c>
      <c r="P15" s="20" t="n"/>
      <c r="Q15" s="21" t="inlineStr">
        <is>
          <t xml:space="preserve">Date </t>
        </is>
      </c>
      <c r="R15" s="21" t="inlineStr">
        <is>
          <t xml:space="preserve">Budget </t>
        </is>
      </c>
      <c r="S15" s="21" t="inlineStr">
        <is>
          <t xml:space="preserve">Actual </t>
        </is>
      </c>
    </row>
    <row r="16" ht="13.2" customHeight="1" s="53">
      <c r="B16" s="7" t="inlineStr">
        <is>
          <t>Emergency</t>
        </is>
      </c>
      <c r="C16" s="22" t="n">
        <v>5000</v>
      </c>
      <c r="D16" s="22" t="n">
        <v>5000</v>
      </c>
      <c r="E16" s="6" t="n"/>
      <c r="F16" s="7" t="inlineStr">
        <is>
          <t xml:space="preserve">Bus </t>
        </is>
      </c>
      <c r="G16" s="23" t="n"/>
      <c r="H16" s="9" t="n">
        <v>1500</v>
      </c>
      <c r="I16" s="9" t="n">
        <v>1350</v>
      </c>
      <c r="K16" s="7" t="inlineStr">
        <is>
          <t xml:space="preserve">Rent </t>
        </is>
      </c>
      <c r="L16" s="7" t="n"/>
      <c r="M16" s="9" t="n">
        <v>15000</v>
      </c>
      <c r="N16" s="9" t="n">
        <v>15000</v>
      </c>
      <c r="P16" s="7" t="inlineStr">
        <is>
          <t xml:space="preserve">Visa Card </t>
        </is>
      </c>
      <c r="Q16" s="7" t="n"/>
      <c r="R16" s="9" t="n">
        <v>2500</v>
      </c>
      <c r="S16" s="9" t="n">
        <v>2500</v>
      </c>
    </row>
    <row r="17" ht="13.2" customHeight="1" s="53">
      <c r="B17" s="7" t="inlineStr">
        <is>
          <t xml:space="preserve">Vacation </t>
        </is>
      </c>
      <c r="C17" s="22" t="n">
        <v>2000</v>
      </c>
      <c r="D17" s="22" t="n">
        <v>1500</v>
      </c>
      <c r="E17" s="6" t="n"/>
      <c r="F17" s="7" t="inlineStr">
        <is>
          <t>Uber/Rapido</t>
        </is>
      </c>
      <c r="G17" s="7" t="n"/>
      <c r="H17" s="9" t="n">
        <v>2500</v>
      </c>
      <c r="I17" s="9" t="n">
        <v>2900</v>
      </c>
      <c r="K17" s="7" t="inlineStr">
        <is>
          <t>Electricity</t>
        </is>
      </c>
      <c r="L17" s="7" t="n"/>
      <c r="M17" s="9" t="n">
        <v>2000</v>
      </c>
      <c r="N17" s="9" t="n">
        <v>2250</v>
      </c>
      <c r="P17" s="7" t="inlineStr">
        <is>
          <t>Mastercaard</t>
        </is>
      </c>
      <c r="Q17" s="7" t="n"/>
      <c r="R17" s="9" t="n">
        <v>2000</v>
      </c>
      <c r="S17" s="9" t="n">
        <v>2000</v>
      </c>
    </row>
    <row r="18" ht="13.2" customHeight="1" s="53">
      <c r="B18" s="7" t="inlineStr">
        <is>
          <t xml:space="preserve">Other </t>
        </is>
      </c>
      <c r="C18" s="22" t="n">
        <v>1000</v>
      </c>
      <c r="D18" s="22" t="n">
        <v>800</v>
      </c>
      <c r="E18" s="6" t="n"/>
      <c r="F18" s="7" t="inlineStr">
        <is>
          <t>Dining Out</t>
        </is>
      </c>
      <c r="G18" s="7" t="n"/>
      <c r="H18" s="9" t="n">
        <v>3500</v>
      </c>
      <c r="I18" s="9" t="n">
        <v>4100</v>
      </c>
      <c r="K18" s="7" t="inlineStr">
        <is>
          <t>Cell Phone</t>
        </is>
      </c>
      <c r="L18" s="7" t="n"/>
      <c r="M18" s="9" t="n">
        <v>800</v>
      </c>
      <c r="N18" s="9" t="n">
        <v>799</v>
      </c>
      <c r="P18" s="7" t="inlineStr">
        <is>
          <t>Personal Loan</t>
        </is>
      </c>
      <c r="Q18" s="7" t="n"/>
      <c r="R18" s="9" t="n">
        <v>2500</v>
      </c>
      <c r="S18" s="9" t="n">
        <v>2500</v>
      </c>
    </row>
    <row r="19" ht="13.2" customHeight="1" s="53">
      <c r="B19" s="7" t="inlineStr">
        <is>
          <t>Investment</t>
        </is>
      </c>
      <c r="C19" s="22" t="n">
        <v>4000</v>
      </c>
      <c r="D19" s="22" t="n">
        <v>6200</v>
      </c>
      <c r="E19" s="6" t="n"/>
      <c r="F19" s="7" t="inlineStr">
        <is>
          <t>Other Expenses</t>
        </is>
      </c>
      <c r="G19" s="24" t="n"/>
      <c r="H19" s="9" t="n">
        <v>2000</v>
      </c>
      <c r="I19" s="9" t="n">
        <v>1700</v>
      </c>
      <c r="K19" s="7" t="inlineStr">
        <is>
          <t xml:space="preserve">Internet </t>
        </is>
      </c>
      <c r="L19" s="7" t="n"/>
      <c r="M19" s="9" t="n">
        <v>1000</v>
      </c>
      <c r="N19" s="9" t="n">
        <v>999</v>
      </c>
      <c r="Q19" s="7" t="n"/>
      <c r="R19" s="9" t="n"/>
      <c r="S19" s="9" t="n"/>
    </row>
    <row r="20" ht="13.2" customHeight="1" s="53">
      <c r="C20" s="9" t="n"/>
      <c r="D20" s="9" t="n"/>
      <c r="E20" s="6" t="n"/>
      <c r="F20" s="7" t="inlineStr">
        <is>
          <t>Food Outside</t>
        </is>
      </c>
      <c r="G20" s="7" t="n"/>
      <c r="H20" s="9" t="n">
        <v>4000</v>
      </c>
      <c r="I20" s="9" t="n">
        <v>4350</v>
      </c>
      <c r="K20" s="7" t="inlineStr">
        <is>
          <t>Bus Pass</t>
        </is>
      </c>
      <c r="L20" s="7" t="n"/>
      <c r="M20" s="9" t="n">
        <v>1200</v>
      </c>
      <c r="N20" s="9" t="n">
        <v>1200</v>
      </c>
      <c r="P20" s="7" t="n"/>
      <c r="Q20" s="7" t="n"/>
      <c r="R20" s="9" t="n"/>
      <c r="S20" s="9" t="n"/>
    </row>
    <row r="21" ht="13.2" customHeight="1" s="53">
      <c r="B21" s="7" t="n"/>
      <c r="C21" s="9" t="n"/>
      <c r="D21" s="9" t="n"/>
      <c r="F21" s="7" t="inlineStr">
        <is>
          <t>Food Order</t>
        </is>
      </c>
      <c r="G21" s="23" t="n"/>
      <c r="H21" s="9" t="n">
        <v>5000</v>
      </c>
      <c r="I21" s="9" t="n">
        <v>4950</v>
      </c>
      <c r="L21" s="7" t="n"/>
      <c r="M21" s="9" t="n"/>
      <c r="N21" s="9" t="n"/>
      <c r="P21" s="7" t="n"/>
      <c r="Q21" s="7" t="n"/>
      <c r="R21" s="9" t="n"/>
      <c r="S21" s="9" t="n"/>
    </row>
    <row r="22" ht="13.2" customHeight="1" s="53">
      <c r="B22" s="7" t="n"/>
      <c r="C22" s="9" t="n"/>
      <c r="D22" s="9" t="n"/>
      <c r="G22" s="7" t="n"/>
      <c r="H22" s="9" t="n"/>
      <c r="I22" s="9" t="n"/>
      <c r="K22" s="7" t="n"/>
      <c r="L22" s="7" t="n"/>
      <c r="M22" s="9" t="n"/>
      <c r="N22" s="9" t="n"/>
      <c r="P22" s="7" t="n"/>
      <c r="Q22" s="7" t="n"/>
      <c r="R22" s="9" t="n"/>
      <c r="S22" s="9" t="n"/>
    </row>
    <row r="23" ht="13.2" customHeight="1" s="53">
      <c r="B23" s="7" t="n"/>
      <c r="C23" s="9" t="n"/>
      <c r="D23" s="9" t="n"/>
      <c r="F23" s="7" t="n"/>
      <c r="G23" s="7" t="n"/>
      <c r="H23" s="9" t="n"/>
      <c r="I23" s="9" t="n"/>
      <c r="K23" s="7" t="n"/>
      <c r="L23" s="7" t="n"/>
      <c r="M23" s="9" t="n"/>
      <c r="N23" s="9" t="n"/>
      <c r="P23" s="7" t="n"/>
      <c r="Q23" s="7" t="n"/>
      <c r="R23" s="9" t="n"/>
      <c r="S23" s="9" t="n"/>
    </row>
    <row r="24" ht="13.2" customHeight="1" s="53">
      <c r="B24" s="7" t="n"/>
      <c r="C24" s="9" t="n"/>
      <c r="D24" s="9" t="n"/>
      <c r="F24" s="7" t="n"/>
      <c r="G24" s="7" t="n"/>
      <c r="H24" s="9" t="n"/>
      <c r="I24" s="9" t="n"/>
      <c r="K24" s="7" t="n"/>
      <c r="L24" s="7" t="n"/>
      <c r="M24" s="9" t="n"/>
      <c r="N24" s="9" t="n"/>
      <c r="P24" s="7" t="n"/>
      <c r="Q24" s="7" t="n"/>
      <c r="R24" s="9" t="n"/>
      <c r="S24" s="9" t="n"/>
    </row>
    <row r="25" ht="13.2" customHeight="1" s="53">
      <c r="B25" s="7" t="inlineStr">
        <is>
          <t>Balance</t>
        </is>
      </c>
      <c r="C25" s="9">
        <f>SUM(C16:C24)</f>
        <v/>
      </c>
      <c r="D25" s="9">
        <f>SUM(D16:D24)</f>
        <v/>
      </c>
      <c r="F25" s="7" t="inlineStr">
        <is>
          <t>Balance</t>
        </is>
      </c>
      <c r="G25" s="7" t="n"/>
      <c r="H25" s="9">
        <f>SUM(H16:H24)</f>
        <v/>
      </c>
      <c r="I25" s="9">
        <f>SUM(I16:I24)</f>
        <v/>
      </c>
      <c r="K25" s="7" t="inlineStr">
        <is>
          <t>Balance</t>
        </is>
      </c>
      <c r="L25" s="7" t="n"/>
      <c r="M25" s="9">
        <f>SUM(M16:M20)</f>
        <v/>
      </c>
      <c r="N25" s="9">
        <f>SUM(N16:N20)</f>
        <v/>
      </c>
      <c r="P25" s="7" t="inlineStr">
        <is>
          <t>Balance</t>
        </is>
      </c>
      <c r="Q25" s="7" t="n"/>
      <c r="R25" s="9">
        <f>SUM(R16:R24)</f>
        <v/>
      </c>
      <c r="S25" s="9">
        <f>SUM(S16:S24)</f>
        <v/>
      </c>
    </row>
  </sheetData>
  <mergeCells count="10">
    <mergeCell ref="F14:I14"/>
    <mergeCell ref="B3:D3"/>
    <mergeCell ref="B5:D5"/>
    <mergeCell ref="B14:D14"/>
    <mergeCell ref="P14:S14"/>
    <mergeCell ref="K14:N14"/>
    <mergeCell ref="F2:I2"/>
    <mergeCell ref="P7:S8"/>
    <mergeCell ref="K7:N8"/>
    <mergeCell ref="B2:D2"/>
  </mergeCells>
  <dataValidations count="1">
    <dataValidation sqref="G4:G12 G16:G25 L16:L25 Q16:Q25" showDropDown="1" showInputMessage="0" showErrorMessage="1" allowBlank="1" type="custom">
      <formula1>OR(NOT(ISERROR(DATEVALUE(G4))), AND(ISNUMBER(G4), LEFT(CELL("format", G4))="D"))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5"/>
  <sheetViews>
    <sheetView tabSelected="1" workbookViewId="0">
      <pane ySplit="1" topLeftCell="A2" activePane="bottomLeft" state="frozen"/>
      <selection pane="bottomLeft" activeCell="H10" sqref="H10"/>
    </sheetView>
  </sheetViews>
  <sheetFormatPr baseColWidth="8" defaultRowHeight="13.2"/>
  <cols>
    <col width="11.88671875" customWidth="1" style="53" min="1" max="1"/>
    <col width="8.88671875" customWidth="1" style="53" min="2" max="3"/>
    <col width="15.88671875" customWidth="1" style="53" min="6" max="6"/>
    <col width="14.77734375" customWidth="1" style="53" min="7" max="7"/>
    <col width="12.6640625" customWidth="1" style="53" min="8" max="8"/>
  </cols>
  <sheetData>
    <row r="1">
      <c r="A1" s="47" t="inlineStr">
        <is>
          <t xml:space="preserve">A  </t>
        </is>
      </c>
      <c r="B1" s="47" t="inlineStr">
        <is>
          <t>B</t>
        </is>
      </c>
      <c r="C1" s="47" t="inlineStr">
        <is>
          <t>C</t>
        </is>
      </c>
      <c r="D1" s="47" t="inlineStr">
        <is>
          <t>D</t>
        </is>
      </c>
      <c r="E1" s="47" t="inlineStr">
        <is>
          <t>E</t>
        </is>
      </c>
      <c r="F1" s="47" t="inlineStr">
        <is>
          <t>F</t>
        </is>
      </c>
      <c r="G1" s="47" t="inlineStr">
        <is>
          <t>G</t>
        </is>
      </c>
      <c r="H1" s="47" t="inlineStr">
        <is>
          <t>H</t>
        </is>
      </c>
      <c r="I1" s="50" t="inlineStr">
        <is>
          <t>I</t>
        </is>
      </c>
    </row>
    <row r="2">
      <c r="A2" s="51" t="inlineStr">
        <is>
          <t>---------------------------------------------------------------------------------------------------------------------------------------------------------------------</t>
        </is>
      </c>
      <c r="B2" s="47" t="n"/>
      <c r="C2" s="47" t="n"/>
      <c r="D2" s="47" t="n"/>
      <c r="E2" s="47" t="n"/>
      <c r="F2" s="51" t="n"/>
      <c r="G2" s="51" t="n"/>
      <c r="H2" s="47" t="n"/>
      <c r="I2" s="49" t="n"/>
    </row>
    <row r="3">
      <c r="A3" s="48" t="inlineStr">
        <is>
          <t>Date</t>
        </is>
      </c>
      <c r="B3" s="48" t="inlineStr">
        <is>
          <t xml:space="preserve"> Type </t>
        </is>
      </c>
      <c r="C3" s="48" t="inlineStr">
        <is>
          <t xml:space="preserve"> Category </t>
        </is>
      </c>
      <c r="D3" s="47" t="inlineStr">
        <is>
          <t xml:space="preserve">Merchant </t>
        </is>
      </c>
      <c r="E3" s="47" t="inlineStr">
        <is>
          <t xml:space="preserve">Amount </t>
        </is>
      </c>
      <c r="F3" s="47" t="inlineStr">
        <is>
          <t>Description</t>
        </is>
      </c>
      <c r="G3" s="47" t="inlineStr">
        <is>
          <t xml:space="preserve">AI Confidence </t>
        </is>
      </c>
      <c r="H3" s="47" t="inlineStr">
        <is>
          <t xml:space="preserve"> Month</t>
        </is>
      </c>
      <c r="I3" s="47" t="inlineStr">
        <is>
          <t>Year</t>
        </is>
      </c>
    </row>
    <row r="4">
      <c r="A4" t="inlineStr">
        <is>
          <t>2026-07-14</t>
        </is>
      </c>
      <c r="B4" t="inlineStr">
        <is>
          <t>Expense</t>
        </is>
      </c>
      <c r="C4" t="inlineStr">
        <is>
          <t>Food</t>
        </is>
      </c>
      <c r="D4" t="inlineStr">
        <is>
          <t>Domino's</t>
        </is>
      </c>
      <c r="E4" t="n">
        <v>450</v>
      </c>
      <c r="F4" t="inlineStr">
        <is>
          <t>Pizza</t>
        </is>
      </c>
      <c r="G4" t="n">
        <v>0.99</v>
      </c>
      <c r="H4" t="inlineStr">
        <is>
          <t>July</t>
        </is>
      </c>
      <c r="I4" t="n">
        <v>2026</v>
      </c>
    </row>
    <row r="5">
      <c r="A5" t="inlineStr">
        <is>
          <t>2026-07-14</t>
        </is>
      </c>
      <c r="B5" t="inlineStr">
        <is>
          <t>Expense</t>
        </is>
      </c>
      <c r="C5" t="inlineStr">
        <is>
          <t>Food</t>
        </is>
      </c>
      <c r="D5" t="inlineStr">
        <is>
          <t>Domino's</t>
        </is>
      </c>
      <c r="E5" t="n">
        <v>450</v>
      </c>
      <c r="F5" t="inlineStr">
        <is>
          <t>Pizza</t>
        </is>
      </c>
      <c r="G5" t="n">
        <v>0.99</v>
      </c>
      <c r="H5" t="inlineStr">
        <is>
          <t>July</t>
        </is>
      </c>
      <c r="I5" t="n">
        <v>2026</v>
      </c>
    </row>
    <row r="6">
      <c r="A6" t="inlineStr">
        <is>
          <t>2026-07-14</t>
        </is>
      </c>
      <c r="B6" t="inlineStr">
        <is>
          <t>Expense</t>
        </is>
      </c>
      <c r="C6" t="inlineStr">
        <is>
          <t>Food</t>
        </is>
      </c>
      <c r="D6" t="inlineStr">
        <is>
          <t>Domino's</t>
        </is>
      </c>
      <c r="E6" t="n">
        <v>450</v>
      </c>
      <c r="F6" t="inlineStr">
        <is>
          <t>Pizza</t>
        </is>
      </c>
      <c r="G6" t="n">
        <v>0.99</v>
      </c>
      <c r="H6" t="inlineStr">
        <is>
          <t>July</t>
        </is>
      </c>
      <c r="I6" t="n">
        <v>2026</v>
      </c>
    </row>
    <row r="7">
      <c r="A7" t="inlineStr">
        <is>
          <t>today</t>
        </is>
      </c>
      <c r="B7" t="inlineStr">
        <is>
          <t>Expense</t>
        </is>
      </c>
      <c r="C7" t="inlineStr">
        <is>
          <t>Dining Out</t>
        </is>
      </c>
      <c r="D7" t="inlineStr">
        <is>
          <t>Domino's</t>
        </is>
      </c>
      <c r="E7" t="n">
        <v>450</v>
      </c>
      <c r="F7" t="inlineStr">
        <is>
          <t>Spent ₹450 on Domino's today</t>
        </is>
      </c>
      <c r="G7" t="n">
        <v>0.99</v>
      </c>
      <c r="H7" t="inlineStr">
        <is>
          <t>None</t>
        </is>
      </c>
    </row>
    <row r="8">
      <c r="A8" t="inlineStr">
        <is>
          <t>today</t>
        </is>
      </c>
      <c r="B8" t="inlineStr">
        <is>
          <t>Expense</t>
        </is>
      </c>
      <c r="C8" t="inlineStr">
        <is>
          <t>Dining Out</t>
        </is>
      </c>
      <c r="D8" t="inlineStr">
        <is>
          <t>Domino's</t>
        </is>
      </c>
      <c r="E8" t="n">
        <v>450</v>
      </c>
      <c r="F8" t="inlineStr">
        <is>
          <t>Spent ₹450 on Domino's today</t>
        </is>
      </c>
      <c r="G8" t="n">
        <v>0.99</v>
      </c>
    </row>
    <row r="9">
      <c r="A9" t="inlineStr">
        <is>
          <t>today</t>
        </is>
      </c>
      <c r="B9" t="inlineStr">
        <is>
          <t>Expense</t>
        </is>
      </c>
      <c r="C9" t="inlineStr">
        <is>
          <t>Dining Out</t>
        </is>
      </c>
      <c r="D9" t="inlineStr">
        <is>
          <t>Domino's</t>
        </is>
      </c>
      <c r="E9" t="n">
        <v>450</v>
      </c>
      <c r="F9" t="inlineStr">
        <is>
          <t>Spent ₹450 on Domino's today</t>
        </is>
      </c>
      <c r="G9" t="n">
        <v>0.99</v>
      </c>
      <c r="I9" t="n">
        <v>0</v>
      </c>
    </row>
    <row r="10">
      <c r="A10" t="inlineStr">
        <is>
          <t>today</t>
        </is>
      </c>
      <c r="B10" t="inlineStr">
        <is>
          <t>Expense</t>
        </is>
      </c>
      <c r="C10" t="inlineStr">
        <is>
          <t>Dining Out</t>
        </is>
      </c>
      <c r="D10" t="inlineStr">
        <is>
          <t>Domino's</t>
        </is>
      </c>
      <c r="E10" t="n">
        <v>450</v>
      </c>
      <c r="F10" t="inlineStr">
        <is>
          <t>Spent ₹450 on Domino's today</t>
        </is>
      </c>
      <c r="G10" t="n">
        <v>0.99</v>
      </c>
      <c r="H10" t="inlineStr">
        <is>
          <t>Unknown</t>
        </is>
      </c>
    </row>
    <row r="11">
      <c r="A11" t="inlineStr">
        <is>
          <t>today</t>
        </is>
      </c>
      <c r="B11" t="inlineStr">
        <is>
          <t>Expense or Income</t>
        </is>
      </c>
      <c r="C11" t="inlineStr">
        <is>
          <t>Dining Out</t>
        </is>
      </c>
      <c r="D11" t="inlineStr">
        <is>
          <t>Domino's</t>
        </is>
      </c>
      <c r="E11" t="n">
        <v>450</v>
      </c>
      <c r="F11" t="inlineStr">
        <is>
          <t>Spent ₹450 on Domino's today</t>
        </is>
      </c>
      <c r="G11" t="n">
        <v>0.99</v>
      </c>
      <c r="H11" t="inlineStr">
        <is>
          <t>Unknown</t>
        </is>
      </c>
    </row>
    <row r="12">
      <c r="A12" t="inlineStr">
        <is>
          <t>today</t>
        </is>
      </c>
      <c r="B12" t="inlineStr">
        <is>
          <t>Expense</t>
        </is>
      </c>
      <c r="C12" t="inlineStr">
        <is>
          <t>Dining Out</t>
        </is>
      </c>
      <c r="D12" t="inlineStr">
        <is>
          <t>Domino's</t>
        </is>
      </c>
      <c r="E12" t="n">
        <v>450</v>
      </c>
      <c r="F12" t="inlineStr">
        <is>
          <t>Spent ₹450 on Domino's today</t>
        </is>
      </c>
      <c r="G12" t="n">
        <v>0.99</v>
      </c>
      <c r="H12" t="inlineStr">
        <is>
          <t>Not specified</t>
        </is>
      </c>
    </row>
    <row r="13">
      <c r="A13" t="inlineStr">
        <is>
          <t>today</t>
        </is>
      </c>
      <c r="B13" t="inlineStr">
        <is>
          <t>Expense or Income</t>
        </is>
      </c>
      <c r="C13" t="inlineStr">
        <is>
          <t>Dining Out</t>
        </is>
      </c>
      <c r="D13" t="inlineStr">
        <is>
          <t>Domino's</t>
        </is>
      </c>
      <c r="E13" t="n">
        <v>450</v>
      </c>
      <c r="F13" t="inlineStr">
        <is>
          <t>Spent ₹450 on Domino's today</t>
        </is>
      </c>
      <c r="G13" t="n">
        <v>0.99</v>
      </c>
      <c r="H13" t="inlineStr">
        <is>
          <t>unknown</t>
        </is>
      </c>
    </row>
    <row r="14">
      <c r="A14" t="inlineStr">
        <is>
          <t>yesterday</t>
        </is>
      </c>
      <c r="B14" t="inlineStr">
        <is>
          <t>Expense</t>
        </is>
      </c>
      <c r="C14" t="inlineStr">
        <is>
          <t>Dining Out</t>
        </is>
      </c>
      <c r="D14" t="inlineStr">
        <is>
          <t>Domino's</t>
        </is>
      </c>
      <c r="E14" t="n">
        <v>450</v>
      </c>
      <c r="F14" t="inlineStr">
        <is>
          <t>Spent ₹450 on Domino's yesterday</t>
        </is>
      </c>
      <c r="G14" t="n">
        <v>0.99</v>
      </c>
      <c r="H14" t="inlineStr">
        <is>
          <t>July</t>
        </is>
      </c>
      <c r="I14" t="n">
        <v>2026</v>
      </c>
    </row>
    <row r="15">
      <c r="A15" t="inlineStr">
        <is>
          <t>today</t>
        </is>
      </c>
      <c r="B15" t="inlineStr">
        <is>
          <t>Expense</t>
        </is>
      </c>
      <c r="C15" t="inlineStr">
        <is>
          <t>Dining Out</t>
        </is>
      </c>
      <c r="D15" t="inlineStr">
        <is>
          <t>Domino's</t>
        </is>
      </c>
      <c r="E15" t="n">
        <v>5000</v>
      </c>
      <c r="F15" t="inlineStr">
        <is>
          <t>Spent ₹5000 on Domino's today</t>
        </is>
      </c>
      <c r="G15" t="n">
        <v>0.99</v>
      </c>
      <c r="H15" t="inlineStr">
        <is>
          <t>Not specified</t>
        </is>
      </c>
    </row>
    <row r="16">
      <c r="A16" t="inlineStr">
        <is>
          <t>15-07-2026</t>
        </is>
      </c>
      <c r="B16" t="inlineStr">
        <is>
          <t>Other Expenses</t>
        </is>
      </c>
      <c r="C16" t="inlineStr">
        <is>
          <t>Dining Out</t>
        </is>
      </c>
      <c r="E16" t="n">
        <v>5000</v>
      </c>
      <c r="F16" t="inlineStr">
        <is>
          <t>hotel</t>
        </is>
      </c>
      <c r="G16" t="n">
        <v>0.99</v>
      </c>
      <c r="I16" t="n">
        <v>2026</v>
      </c>
    </row>
    <row r="17">
      <c r="A17" t="inlineStr">
        <is>
          <t>15-07-2026</t>
        </is>
      </c>
      <c r="B17" t="inlineStr">
        <is>
          <t>Expense</t>
        </is>
      </c>
      <c r="C17" t="inlineStr">
        <is>
          <t>Other Expenses</t>
        </is>
      </c>
      <c r="D17" t="inlineStr">
        <is>
          <t>Unspecified</t>
        </is>
      </c>
      <c r="E17" t="n">
        <v>2000</v>
      </c>
      <c r="G17" t="n">
        <v>0.99</v>
      </c>
      <c r="H17" t="inlineStr">
        <is>
          <t>July</t>
        </is>
      </c>
      <c r="I17" t="n">
        <v>2026</v>
      </c>
    </row>
    <row r="18">
      <c r="A18" t="inlineStr">
        <is>
          <t>15-07-2026</t>
        </is>
      </c>
      <c r="B18" t="inlineStr">
        <is>
          <t>Expense</t>
        </is>
      </c>
      <c r="C18" t="inlineStr">
        <is>
          <t>Other Expenses</t>
        </is>
      </c>
      <c r="D18" t="inlineStr">
        <is>
          <t>Unspecified</t>
        </is>
      </c>
      <c r="E18" t="n">
        <v>300</v>
      </c>
      <c r="G18" t="n">
        <v>0.99</v>
      </c>
      <c r="H18" t="inlineStr">
        <is>
          <t>July</t>
        </is>
      </c>
      <c r="I18" t="n">
        <v>2026</v>
      </c>
    </row>
    <row r="19">
      <c r="A19" t="inlineStr">
        <is>
          <t>14-07-2026</t>
        </is>
      </c>
      <c r="B19" t="inlineStr">
        <is>
          <t>Income</t>
        </is>
      </c>
      <c r="C19" t="inlineStr">
        <is>
          <t>Salary</t>
        </is>
      </c>
      <c r="D19" t="inlineStr">
        <is>
          <t>Boss</t>
        </is>
      </c>
      <c r="E19" t="n">
        <v>25000</v>
      </c>
      <c r="G19" t="n">
        <v>0.99</v>
      </c>
      <c r="H19" t="inlineStr">
        <is>
          <t>July</t>
        </is>
      </c>
      <c r="I19" t="n">
        <v>2026</v>
      </c>
    </row>
    <row r="20">
      <c r="A20" t="inlineStr">
        <is>
          <t>15-07-2026</t>
        </is>
      </c>
      <c r="B20" t="inlineStr">
        <is>
          <t>Expense</t>
        </is>
      </c>
      <c r="C20" t="inlineStr">
        <is>
          <t>Bus</t>
        </is>
      </c>
      <c r="D20" t="inlineStr">
        <is>
          <t>conductor</t>
        </is>
      </c>
      <c r="E20" t="n">
        <v>12</v>
      </c>
      <c r="G20" t="n">
        <v>0.99</v>
      </c>
      <c r="H20" t="inlineStr">
        <is>
          <t>July</t>
        </is>
      </c>
      <c r="I20" t="n">
        <v>2026</v>
      </c>
    </row>
    <row r="21">
      <c r="A21" t="inlineStr">
        <is>
          <t>15-07-2026</t>
        </is>
      </c>
      <c r="B21" t="inlineStr">
        <is>
          <t>Expense</t>
        </is>
      </c>
      <c r="C21" t="inlineStr">
        <is>
          <t>Bus</t>
        </is>
      </c>
      <c r="D21" t="inlineStr">
        <is>
          <t>Unspecified</t>
        </is>
      </c>
      <c r="E21" t="n">
        <v>25</v>
      </c>
      <c r="G21" t="n">
        <v>0.99</v>
      </c>
      <c r="H21" t="inlineStr">
        <is>
          <t>July</t>
        </is>
      </c>
      <c r="I21" t="n">
        <v>2026</v>
      </c>
    </row>
    <row r="22">
      <c r="A22" t="inlineStr">
        <is>
          <t>15-07-2026</t>
        </is>
      </c>
      <c r="B22" t="inlineStr">
        <is>
          <t>Savings</t>
        </is>
      </c>
      <c r="C22" t="inlineStr">
        <is>
          <t>Other Expenses</t>
        </is>
      </c>
      <c r="D22" t="inlineStr">
        <is>
          <t>Unspecified</t>
        </is>
      </c>
      <c r="E22" t="n">
        <v>10000</v>
      </c>
      <c r="G22" t="n">
        <v>0.99</v>
      </c>
      <c r="H22" t="inlineStr">
        <is>
          <t>July</t>
        </is>
      </c>
      <c r="I22" t="n">
        <v>2026</v>
      </c>
    </row>
    <row r="23">
      <c r="A23" t="inlineStr">
        <is>
          <t>13-07-2026</t>
        </is>
      </c>
      <c r="B23" t="inlineStr">
        <is>
          <t>Income</t>
        </is>
      </c>
      <c r="C23" t="inlineStr">
        <is>
          <t>Salary</t>
        </is>
      </c>
      <c r="D23" t="inlineStr">
        <is>
          <t>Employer</t>
        </is>
      </c>
      <c r="E23" t="n">
        <v>5000</v>
      </c>
      <c r="G23" t="n">
        <v>0.99</v>
      </c>
      <c r="H23" t="inlineStr">
        <is>
          <t>July</t>
        </is>
      </c>
      <c r="I23" t="n">
        <v>2026</v>
      </c>
    </row>
    <row r="24">
      <c r="A24" t="inlineStr">
        <is>
          <t>15-07-2026</t>
        </is>
      </c>
      <c r="B24" t="inlineStr">
        <is>
          <t>Expense</t>
        </is>
      </c>
      <c r="C24" t="inlineStr">
        <is>
          <t>Bus</t>
        </is>
      </c>
      <c r="D24" t="inlineStr">
        <is>
          <t>Unspecified</t>
        </is>
      </c>
      <c r="E24" t="n">
        <v>6</v>
      </c>
      <c r="G24" t="n">
        <v>0.99</v>
      </c>
      <c r="H24" t="inlineStr">
        <is>
          <t>July</t>
        </is>
      </c>
      <c r="I24" t="n">
        <v>2026</v>
      </c>
    </row>
    <row r="25">
      <c r="A25" t="inlineStr">
        <is>
          <t>15-07-2026</t>
        </is>
      </c>
      <c r="B25" t="inlineStr">
        <is>
          <t>Expense</t>
        </is>
      </c>
      <c r="C25" t="inlineStr">
        <is>
          <t>Other Expenses</t>
        </is>
      </c>
      <c r="D25" t="inlineStr">
        <is>
          <t>Unspecified</t>
        </is>
      </c>
      <c r="E25" t="n">
        <v>5000</v>
      </c>
      <c r="G25" t="n">
        <v>0.99</v>
      </c>
      <c r="H25" t="inlineStr">
        <is>
          <t>July</t>
        </is>
      </c>
      <c r="I25" t="n">
        <v>2026</v>
      </c>
    </row>
    <row r="26">
      <c r="A26" t="inlineStr">
        <is>
          <t>16-07-2026</t>
        </is>
      </c>
      <c r="B26" t="inlineStr">
        <is>
          <t>Expense</t>
        </is>
      </c>
      <c r="C26" t="inlineStr">
        <is>
          <t>bus</t>
        </is>
      </c>
      <c r="D26" t="inlineStr">
        <is>
          <t>Unspecified</t>
        </is>
      </c>
      <c r="E26" t="n">
        <v>1600</v>
      </c>
      <c r="G26" t="n">
        <v>0.99</v>
      </c>
      <c r="H26" t="inlineStr">
        <is>
          <t>July</t>
        </is>
      </c>
      <c r="I26" t="n">
        <v>2026</v>
      </c>
    </row>
    <row r="27">
      <c r="A27" t="inlineStr">
        <is>
          <t>16-07-2026</t>
        </is>
      </c>
      <c r="B27" t="inlineStr">
        <is>
          <t>Expense</t>
        </is>
      </c>
      <c r="C27" t="inlineStr">
        <is>
          <t>Bus</t>
        </is>
      </c>
      <c r="D27" t="inlineStr">
        <is>
          <t>Unspecified</t>
        </is>
      </c>
      <c r="E27" t="n">
        <v>12</v>
      </c>
      <c r="G27" t="n">
        <v>0.99</v>
      </c>
      <c r="H27" t="inlineStr">
        <is>
          <t>July</t>
        </is>
      </c>
      <c r="I27" t="n">
        <v>2026</v>
      </c>
    </row>
    <row r="28">
      <c r="A28" t="inlineStr">
        <is>
          <t>16-07-2026</t>
        </is>
      </c>
      <c r="B28" t="inlineStr">
        <is>
          <t>Expense</t>
        </is>
      </c>
      <c r="C28" t="inlineStr">
        <is>
          <t>Bus</t>
        </is>
      </c>
      <c r="D28" t="inlineStr">
        <is>
          <t>Unspecified</t>
        </is>
      </c>
      <c r="E28" t="n">
        <v>5000</v>
      </c>
      <c r="G28" t="n">
        <v>0.99</v>
      </c>
      <c r="H28" t="inlineStr">
        <is>
          <t>July</t>
        </is>
      </c>
      <c r="I28" t="n">
        <v>2026</v>
      </c>
    </row>
    <row r="29">
      <c r="A29" t="inlineStr">
        <is>
          <t>16-07-2026</t>
        </is>
      </c>
      <c r="B29" t="inlineStr">
        <is>
          <t>Expense</t>
        </is>
      </c>
      <c r="C29" t="inlineStr">
        <is>
          <t>Bus</t>
        </is>
      </c>
      <c r="D29" t="inlineStr">
        <is>
          <t>Unspecified</t>
        </is>
      </c>
      <c r="E29" t="n">
        <v>12</v>
      </c>
      <c r="G29" t="n">
        <v>0.99</v>
      </c>
      <c r="H29" t="inlineStr">
        <is>
          <t>July</t>
        </is>
      </c>
      <c r="I29" t="n">
        <v>2026</v>
      </c>
    </row>
    <row r="30">
      <c r="A30" t="inlineStr">
        <is>
          <t>16-07-2026</t>
        </is>
      </c>
      <c r="B30" t="inlineStr">
        <is>
          <t>Expense</t>
        </is>
      </c>
      <c r="C30" t="inlineStr">
        <is>
          <t>Bus</t>
        </is>
      </c>
      <c r="D30" t="inlineStr">
        <is>
          <t>Unspecified</t>
        </is>
      </c>
      <c r="E30" t="n">
        <v>1501</v>
      </c>
      <c r="G30" t="n">
        <v>0.99</v>
      </c>
      <c r="H30" t="inlineStr">
        <is>
          <t>July</t>
        </is>
      </c>
      <c r="I30" t="n">
        <v>2026</v>
      </c>
    </row>
    <row r="31">
      <c r="A31" t="inlineStr">
        <is>
          <t>16-07-2026</t>
        </is>
      </c>
      <c r="B31" t="inlineStr">
        <is>
          <t>Income</t>
        </is>
      </c>
      <c r="C31" t="inlineStr">
        <is>
          <t>Other Expenses</t>
        </is>
      </c>
      <c r="D31" t="inlineStr">
        <is>
          <t>Unspecified</t>
        </is>
      </c>
      <c r="E31" t="n">
        <v>1000</v>
      </c>
      <c r="G31" t="n">
        <v>0.99</v>
      </c>
      <c r="H31" t="inlineStr">
        <is>
          <t>July</t>
        </is>
      </c>
      <c r="I31" t="n">
        <v>2026</v>
      </c>
    </row>
    <row r="32">
      <c r="A32" t="inlineStr">
        <is>
          <t>16-07-2026</t>
        </is>
      </c>
      <c r="B32" t="inlineStr">
        <is>
          <t>Expense</t>
        </is>
      </c>
      <c r="C32" t="inlineStr">
        <is>
          <t>Other Expenses</t>
        </is>
      </c>
      <c r="D32" t="inlineStr">
        <is>
          <t>Unspecified</t>
        </is>
      </c>
      <c r="E32" t="n">
        <v>23</v>
      </c>
      <c r="G32" t="n">
        <v>0.99</v>
      </c>
      <c r="H32" t="inlineStr">
        <is>
          <t>July</t>
        </is>
      </c>
      <c r="I32" t="n">
        <v>2026</v>
      </c>
    </row>
    <row r="33">
      <c r="A33" t="inlineStr">
        <is>
          <t>16-07-2026</t>
        </is>
      </c>
      <c r="B33" t="inlineStr">
        <is>
          <t>Income</t>
        </is>
      </c>
      <c r="C33" t="inlineStr">
        <is>
          <t>Other Expenses</t>
        </is>
      </c>
      <c r="D33" t="inlineStr">
        <is>
          <t>Unspecified</t>
        </is>
      </c>
      <c r="E33" t="n">
        <v>100</v>
      </c>
      <c r="G33" t="n">
        <v>0.99</v>
      </c>
      <c r="H33" t="inlineStr">
        <is>
          <t>July</t>
        </is>
      </c>
      <c r="I33" t="n">
        <v>2026</v>
      </c>
    </row>
    <row r="34">
      <c r="A34" t="inlineStr">
        <is>
          <t>16-07-2026</t>
        </is>
      </c>
      <c r="B34" t="inlineStr">
        <is>
          <t>Income</t>
        </is>
      </c>
      <c r="C34" t="inlineStr">
        <is>
          <t>Other Expenses</t>
        </is>
      </c>
      <c r="D34" t="inlineStr">
        <is>
          <t>Unspecified</t>
        </is>
      </c>
      <c r="E34" t="n">
        <v>1000</v>
      </c>
      <c r="G34" t="n">
        <v>0.99</v>
      </c>
      <c r="H34" t="inlineStr">
        <is>
          <t>July</t>
        </is>
      </c>
      <c r="I34" t="n">
        <v>2026</v>
      </c>
    </row>
    <row r="35">
      <c r="A35" t="inlineStr">
        <is>
          <t>16-07-2026</t>
        </is>
      </c>
      <c r="B35" t="inlineStr">
        <is>
          <t>Expense</t>
        </is>
      </c>
      <c r="C35" t="inlineStr">
        <is>
          <t>Food</t>
        </is>
      </c>
      <c r="D35" t="inlineStr">
        <is>
          <t>Pizza Hut</t>
        </is>
      </c>
      <c r="E35" t="n">
        <v>500</v>
      </c>
      <c r="F35" t="inlineStr">
        <is>
          <t>Pizza and garlic bread</t>
        </is>
      </c>
      <c r="G35" t="n">
        <v>0.99</v>
      </c>
      <c r="H35" t="inlineStr">
        <is>
          <t>July</t>
        </is>
      </c>
      <c r="I35" t="n">
        <v>2026</v>
      </c>
    </row>
    <row r="36">
      <c r="A36" t="inlineStr">
        <is>
          <t>16-07-2026</t>
        </is>
      </c>
      <c r="B36" t="inlineStr">
        <is>
          <t>Income</t>
        </is>
      </c>
      <c r="C36" t="inlineStr">
        <is>
          <t>Salary</t>
        </is>
      </c>
      <c r="D36" t="inlineStr">
        <is>
          <t>Unspecified</t>
        </is>
      </c>
      <c r="E36" t="n">
        <v>900</v>
      </c>
      <c r="F36" t="inlineStr">
        <is>
          <t>Salary Recieved</t>
        </is>
      </c>
      <c r="G36" t="n">
        <v>0.99</v>
      </c>
      <c r="H36" t="inlineStr">
        <is>
          <t>July</t>
        </is>
      </c>
      <c r="I36" t="n">
        <v>2026</v>
      </c>
    </row>
    <row r="37">
      <c r="A37" t="inlineStr">
        <is>
          <t>16-07-2026</t>
        </is>
      </c>
      <c r="B37" t="inlineStr">
        <is>
          <t>Expense</t>
        </is>
      </c>
      <c r="C37" t="inlineStr">
        <is>
          <t>Bus</t>
        </is>
      </c>
      <c r="D37" t="inlineStr">
        <is>
          <t>Unspecified</t>
        </is>
      </c>
      <c r="E37" t="n">
        <v>12</v>
      </c>
      <c r="F37" t="inlineStr">
        <is>
          <t>Bus ticket</t>
        </is>
      </c>
      <c r="G37" t="n">
        <v>0.99</v>
      </c>
      <c r="H37" t="inlineStr">
        <is>
          <t>July</t>
        </is>
      </c>
      <c r="I37" t="n">
        <v>2026</v>
      </c>
    </row>
    <row r="38">
      <c r="A38" t="inlineStr">
        <is>
          <t>16-07-2026</t>
        </is>
      </c>
      <c r="B38" t="inlineStr">
        <is>
          <t>Debt</t>
        </is>
      </c>
      <c r="C38" t="inlineStr">
        <is>
          <t>Loan</t>
        </is>
      </c>
      <c r="D38" t="inlineStr">
        <is>
          <t>Unspecified</t>
        </is>
      </c>
      <c r="E38" t="n">
        <v>100</v>
      </c>
      <c r="F38" t="inlineStr">
        <is>
          <t>Debt</t>
        </is>
      </c>
      <c r="G38" t="n">
        <v>0.99</v>
      </c>
      <c r="H38" t="inlineStr">
        <is>
          <t>July</t>
        </is>
      </c>
      <c r="I38" t="n">
        <v>2026</v>
      </c>
    </row>
    <row r="39">
      <c r="A39" t="inlineStr">
        <is>
          <t>16-07-2026</t>
        </is>
      </c>
      <c r="B39" t="inlineStr">
        <is>
          <t>Income</t>
        </is>
      </c>
      <c r="C39" t="inlineStr">
        <is>
          <t>Salary</t>
        </is>
      </c>
      <c r="D39" t="inlineStr">
        <is>
          <t>Unspecified</t>
        </is>
      </c>
      <c r="E39" t="n">
        <v>10000</v>
      </c>
      <c r="F39" t="inlineStr">
        <is>
          <t>Salary Recieved</t>
        </is>
      </c>
      <c r="G39" t="n">
        <v>0.99</v>
      </c>
      <c r="H39" t="inlineStr">
        <is>
          <t>July</t>
        </is>
      </c>
      <c r="I39" t="n">
        <v>2026</v>
      </c>
    </row>
    <row r="40">
      <c r="A40" t="inlineStr">
        <is>
          <t>16-07-2026</t>
        </is>
      </c>
      <c r="B40" t="inlineStr">
        <is>
          <t>Expense</t>
        </is>
      </c>
      <c r="C40" t="inlineStr">
        <is>
          <t>Bus</t>
        </is>
      </c>
      <c r="D40" t="inlineStr">
        <is>
          <t>Unspecified</t>
        </is>
      </c>
      <c r="E40" t="n">
        <v>6</v>
      </c>
      <c r="F40" t="inlineStr">
        <is>
          <t>Bus Ticket</t>
        </is>
      </c>
      <c r="G40" t="n">
        <v>0.99</v>
      </c>
      <c r="H40" t="inlineStr">
        <is>
          <t>July</t>
        </is>
      </c>
      <c r="I40" t="n">
        <v>2026</v>
      </c>
    </row>
    <row r="41">
      <c r="A41" t="inlineStr">
        <is>
          <t>16-07-2026</t>
        </is>
      </c>
      <c r="B41" t="inlineStr">
        <is>
          <t>Income</t>
        </is>
      </c>
      <c r="C41" t="inlineStr">
        <is>
          <t>Recieved from Parents</t>
        </is>
      </c>
      <c r="D41" t="inlineStr">
        <is>
          <t>Unspecified</t>
        </is>
      </c>
      <c r="E41" t="n">
        <v>5000</v>
      </c>
      <c r="G41" t="n">
        <v>0.99</v>
      </c>
      <c r="H41" t="inlineStr">
        <is>
          <t>July</t>
        </is>
      </c>
      <c r="I41" t="n">
        <v>2026</v>
      </c>
    </row>
    <row r="42">
      <c r="A42" t="inlineStr">
        <is>
          <t>16-07-2026</t>
        </is>
      </c>
      <c r="B42" t="inlineStr">
        <is>
          <t>Expense</t>
        </is>
      </c>
      <c r="C42" t="inlineStr">
        <is>
          <t>Other Expenses</t>
        </is>
      </c>
      <c r="D42" t="inlineStr">
        <is>
          <t>Unspecified</t>
        </is>
      </c>
      <c r="E42" t="n">
        <v>1000</v>
      </c>
      <c r="G42" t="n">
        <v>0.99</v>
      </c>
      <c r="H42" t="inlineStr">
        <is>
          <t>July</t>
        </is>
      </c>
      <c r="I42" t="n">
        <v>2026</v>
      </c>
    </row>
    <row r="43">
      <c r="A43" t="inlineStr">
        <is>
          <t>16-07-2026</t>
        </is>
      </c>
      <c r="B43" t="inlineStr">
        <is>
          <t>Expense</t>
        </is>
      </c>
      <c r="C43" t="inlineStr">
        <is>
          <t>Other Expenses</t>
        </is>
      </c>
      <c r="D43" t="inlineStr">
        <is>
          <t>Unspecified</t>
        </is>
      </c>
      <c r="E43" t="n">
        <v>1000</v>
      </c>
      <c r="G43" t="n">
        <v>0.99</v>
      </c>
      <c r="H43" t="inlineStr">
        <is>
          <t>January</t>
        </is>
      </c>
      <c r="I43" t="n">
        <v>2026</v>
      </c>
    </row>
    <row r="44">
      <c r="A44" t="inlineStr">
        <is>
          <t>16-07-2026</t>
        </is>
      </c>
      <c r="B44" t="inlineStr">
        <is>
          <t>Income</t>
        </is>
      </c>
      <c r="C44" t="inlineStr">
        <is>
          <t>Other Expenses</t>
        </is>
      </c>
      <c r="D44" t="inlineStr">
        <is>
          <t>Unspecified</t>
        </is>
      </c>
      <c r="E44" t="n">
        <v>5000</v>
      </c>
      <c r="G44" t="n">
        <v>0.99</v>
      </c>
      <c r="H44" t="inlineStr">
        <is>
          <t>January</t>
        </is>
      </c>
      <c r="I44" t="n">
        <v>2026</v>
      </c>
    </row>
    <row r="45">
      <c r="A45" t="inlineStr">
        <is>
          <t>16-07-2026</t>
        </is>
      </c>
      <c r="B45" t="inlineStr">
        <is>
          <t>Expense</t>
        </is>
      </c>
      <c r="C45" t="inlineStr">
        <is>
          <t>Bus</t>
        </is>
      </c>
      <c r="D45" t="inlineStr">
        <is>
          <t>Unspecified</t>
        </is>
      </c>
      <c r="E45" t="n">
        <v>20</v>
      </c>
      <c r="F45" t="inlineStr"/>
      <c r="G45" t="n">
        <v>0.99</v>
      </c>
      <c r="H45" t="inlineStr">
        <is>
          <t>January</t>
        </is>
      </c>
      <c r="I45" t="n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Runa Dutta</dc:creator>
  <dcterms:created xsi:type="dcterms:W3CDTF">2026-07-13T18:07:59Z</dcterms:created>
  <dcterms:modified xsi:type="dcterms:W3CDTF">2026-07-16T17:11:15Z</dcterms:modified>
  <cp:lastModifiedBy>runadutta2010@outlook.com</cp:lastModifiedBy>
</cp:coreProperties>
</file>